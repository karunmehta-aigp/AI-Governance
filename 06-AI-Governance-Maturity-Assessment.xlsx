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urity Scoring" sheetId="1" state="visible" r:id="rId3"/>
    <sheet name="Domain Summary" sheetId="2" state="visible" r:id="rId4"/>
    <sheet name="Maturity Leve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<sst xmlns="http://schemas.openxmlformats.org/spreadsheetml/2006/main" count="76" uniqueCount="55">
  <si>
    <t xml:space="preserve">AI Governance Maturity Assessment</t>
  </si>
  <si>
    <t xml:space="preserve">Score each domain 1 (Initial) to 5 (Optimised). See 'Maturity Levels' sheet for level definitions.</t>
  </si>
  <si>
    <t xml:space="preserve">Domain</t>
  </si>
  <si>
    <t xml:space="preserve">Sub-capability</t>
  </si>
  <si>
    <t xml:space="preserve">Current Score (1-5)</t>
  </si>
  <si>
    <t xml:space="preserve">Target Score (1-5)</t>
  </si>
  <si>
    <t xml:space="preserve">Gap</t>
  </si>
  <si>
    <t xml:space="preserve">Evidence / Notes</t>
  </si>
  <si>
    <t xml:space="preserve">Strategy &amp; Governance Structure</t>
  </si>
  <si>
    <t xml:space="preserve">AI Governance Committee established with charter</t>
  </si>
  <si>
    <t xml:space="preserve">Risk appetite for AI defined and approved</t>
  </si>
  <si>
    <t xml:space="preserve">Policy &amp; Standards</t>
  </si>
  <si>
    <t xml:space="preserve">AI Policy approved and communicated org-wide</t>
  </si>
  <si>
    <t xml:space="preserve">Risk classification model consistently applied</t>
  </si>
  <si>
    <t xml:space="preserve">Inventory &amp; Classification</t>
  </si>
  <si>
    <t xml:space="preserve">Complete, current AI system inventory</t>
  </si>
  <si>
    <t xml:space="preserve">Shadow AI discovery process in place</t>
  </si>
  <si>
    <t xml:space="preserve">Risk Management</t>
  </si>
  <si>
    <t xml:space="preserve">Use case assessment completed pre-deployment</t>
  </si>
  <si>
    <t xml:space="preserve">Vendor/third-party AI risk assessment process</t>
  </si>
  <si>
    <t xml:space="preserve">Human Oversight</t>
  </si>
  <si>
    <t xml:space="preserve">Named override authority for high-risk systems</t>
  </si>
  <si>
    <t xml:space="preserve">Individual right-to-review process operational</t>
  </si>
  <si>
    <t xml:space="preserve">Data Governance</t>
  </si>
  <si>
    <t xml:space="preserve">Data lineage and lawful basis documented</t>
  </si>
  <si>
    <t xml:space="preserve">DPIA/FRIA process integrated with AI intake</t>
  </si>
  <si>
    <t xml:space="preserve">Monitoring &amp; Performance</t>
  </si>
  <si>
    <t xml:space="preserve">Quarterly review cycle operating for high-risk systems</t>
  </si>
  <si>
    <t xml:space="preserve">Drift/bias monitoring thresholds defined</t>
  </si>
  <si>
    <t xml:space="preserve">Incident Management</t>
  </si>
  <si>
    <t xml:space="preserve">Incident response procedure defined and tested</t>
  </si>
  <si>
    <t xml:space="preserve">Regulatory escalation triggers documented</t>
  </si>
  <si>
    <t xml:space="preserve">Documentation &amp; Conformity</t>
  </si>
  <si>
    <t xml:space="preserve">Technical documentation current for high-risk systems</t>
  </si>
  <si>
    <t xml:space="preserve">Conformity declarations maintained</t>
  </si>
  <si>
    <t xml:space="preserve">Training &amp; Culture</t>
  </si>
  <si>
    <t xml:space="preserve">Role-based AI governance training delivered</t>
  </si>
  <si>
    <t xml:space="preserve">Business owners understand their accountability</t>
  </si>
  <si>
    <t xml:space="preserve">Maturity by Domain (Average Current vs Target)</t>
  </si>
  <si>
    <t xml:space="preserve">Avg Current</t>
  </si>
  <si>
    <t xml:space="preserve">Avg Target</t>
  </si>
  <si>
    <t xml:space="preserve">Overall Maturity Score</t>
  </si>
  <si>
    <t xml:space="preserve">Maturity Level Definitions</t>
  </si>
  <si>
    <t xml:space="preserve">Level</t>
  </si>
  <si>
    <t xml:space="preserve">Definition</t>
  </si>
  <si>
    <t xml:space="preserve">1 — Initial</t>
  </si>
  <si>
    <t xml:space="preserve">Ad hoc or no formal practice. Activity, if any, is reactive and undocumented.</t>
  </si>
  <si>
    <t xml:space="preserve">2 — Developing</t>
  </si>
  <si>
    <t xml:space="preserve">Practice exists but is inconsistent, informal, or dependent on individual effort.</t>
  </si>
  <si>
    <t xml:space="preserve">3 — Defined</t>
  </si>
  <si>
    <t xml:space="preserve">Documented process exists and is applied for major cases, but not yet organisation-wide.</t>
  </si>
  <si>
    <t xml:space="preserve">4 — Managed</t>
  </si>
  <si>
    <t xml:space="preserve">Process is consistently applied, measured, and reported; roles and accountability are clear.</t>
  </si>
  <si>
    <t xml:space="preserve">5 — Optimised</t>
  </si>
  <si>
    <t xml:space="preserve">Process is embedded, proactively improved using metrics/lessons learned, and integrated into business-as-usual.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</si>
</sst>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Governance Maturity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'Domain Summary'!B3</c:f>
              <c:strCache>
                <c:ptCount val="1"/>
                <c:pt idx="0">
                  <c:v>Avg Current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'Domain Summary'!$A$4:$A$13</c:f>
              <c:strCache>
                <c:ptCount val="10"/>
                <c:pt idx="0">
                  <c:v>Strategy &amp; Governance Structure</c:v>
                </c:pt>
                <c:pt idx="1">
                  <c:v>Policy &amp; Standards</c:v>
                </c:pt>
                <c:pt idx="2">
                  <c:v>Inventory &amp; Classification</c:v>
                </c:pt>
                <c:pt idx="3">
                  <c:v>Risk Management</c:v>
                </c:pt>
                <c:pt idx="4">
                  <c:v>Human Oversight</c:v>
                </c:pt>
                <c:pt idx="5">
                  <c:v>Data Governance</c:v>
                </c:pt>
                <c:pt idx="6">
                  <c:v>Monitoring &amp; Performance</c:v>
                </c:pt>
                <c:pt idx="7">
                  <c:v>Incident Management</c:v>
                </c:pt>
                <c:pt idx="8">
                  <c:v>Documentation &amp; Conformity</c:v>
                </c:pt>
                <c:pt idx="9">
                  <c:v>Training &amp; Culture</c:v>
                </c:pt>
              </c:strCache>
            </c:strRef>
          </c:cat>
          <c:val>
            <c:numRef>
              <c:f>'Domain Summary'!$B$4:$B$13</c:f>
              <c:numCache>
                <c:formatCode>General</c:formatCode>
                <c:ptCount val="10"/>
                <c:pt idx="0">
                  <c:v>2.5</c:v>
                </c:pt>
                <c:pt idx="1">
                  <c:v>2.5</c:v>
                </c:pt>
                <c:pt idx="2">
                  <c:v>1.5</c:v>
                </c:pt>
                <c:pt idx="3">
                  <c:v>2.5</c:v>
                </c:pt>
                <c:pt idx="4">
                  <c:v>2.5</c:v>
                </c:pt>
                <c:pt idx="5">
                  <c:v>2</c:v>
                </c:pt>
                <c:pt idx="6">
                  <c:v>1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</c:numCache>
            </c:numRef>
          </c:val>
        </c:ser>
        <c:ser>
          <c:idx val="1"/>
          <c:order val="1"/>
          <c:tx>
            <c:strRef>
              <c:f>'Domain Summary'!C3</c:f>
              <c:strCache>
                <c:ptCount val="1"/>
                <c:pt idx="0">
                  <c:v>Avg Target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'Domain Summary'!$A$4:$A$13</c:f>
              <c:strCache>
                <c:ptCount val="10"/>
                <c:pt idx="0">
                  <c:v>Strategy &amp; Governance Structure</c:v>
                </c:pt>
                <c:pt idx="1">
                  <c:v>Policy &amp; Standards</c:v>
                </c:pt>
                <c:pt idx="2">
                  <c:v>Inventory &amp; Classification</c:v>
                </c:pt>
                <c:pt idx="3">
                  <c:v>Risk Management</c:v>
                </c:pt>
                <c:pt idx="4">
                  <c:v>Human Oversight</c:v>
                </c:pt>
                <c:pt idx="5">
                  <c:v>Data Governance</c:v>
                </c:pt>
                <c:pt idx="6">
                  <c:v>Monitoring &amp; Performance</c:v>
                </c:pt>
                <c:pt idx="7">
                  <c:v>Incident Management</c:v>
                </c:pt>
                <c:pt idx="8">
                  <c:v>Documentation &amp; Conformity</c:v>
                </c:pt>
                <c:pt idx="9">
                  <c:v>Training &amp; Culture</c:v>
                </c:pt>
              </c:strCache>
            </c:strRef>
          </c:cat>
          <c:val>
            <c:numRef>
              <c:f>'Domain Summary'!$C$4:$C$13</c:f>
              <c:numCache>
                <c:formatCode>General</c:formatCode>
                <c:ptCount val="10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4.5</c:v>
                </c:pt>
                <c:pt idx="9">
                  <c:v>4</c:v>
                </c:pt>
              </c:numCache>
            </c:numRef>
          </c:val>
        </c:ser>
        <c:axId val="41727980"/>
        <c:axId val="54534702"/>
      </c:radarChart>
      <c:catAx>
        <c:axId val="417279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4702"/>
        <c:crosses val="autoZero"/>
        <c:auto val="1"/>
        <c:lblAlgn val="ctr"/>
        <c:lblOffset val="100"/>
        <c:noMultiLvlLbl val="0"/>
      </c:catAx>
      <c:valAx>
        <c:axId val="54534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279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15</xdr:col>
      <xdr:colOff>473400</xdr:colOff>
      <xdr:row>24</xdr:row>
      <xdr:rowOff>113760</xdr:rowOff>
    </xdr:to>
    <xdr:graphicFrame>
      <xdr:nvGraphicFramePr>
        <xdr:cNvPr id="0" name="Chart 1"/>
        <xdr:cNvGraphicFramePr/>
      </xdr:nvGraphicFramePr>
      <xdr:xfrm>
        <a:off x="4699800" y="3808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n">
        <v>3</v>
      </c>
      <c r="D5" s="4" t="n">
        <v>5</v>
      </c>
      <c r="E5" s="4" t="n">
        <f aca="false">D5-C5</f>
        <v>2</v>
      </c>
      <c r="F5" s="4"/>
    </row>
    <row r="6" customFormat="false" ht="15" hidden="false" customHeight="false" outlineLevel="0" collapsed="false">
      <c r="A6" s="5" t="s">
        <v>8</v>
      </c>
      <c r="B6" s="5" t="s">
        <v>10</v>
      </c>
      <c r="C6" s="5" t="n">
        <v>2</v>
      </c>
      <c r="D6" s="5" t="n">
        <v>4</v>
      </c>
      <c r="E6" s="5" t="n">
        <f aca="false">D6-C6</f>
        <v>2</v>
      </c>
      <c r="F6" s="5"/>
    </row>
    <row r="7" customFormat="false" ht="15" hidden="false" customHeight="false" outlineLevel="0" collapsed="false">
      <c r="A7" s="4" t="s">
        <v>11</v>
      </c>
      <c r="B7" s="4" t="s">
        <v>12</v>
      </c>
      <c r="C7" s="4" t="n">
        <v>3</v>
      </c>
      <c r="D7" s="4" t="n">
        <v>5</v>
      </c>
      <c r="E7" s="4" t="n">
        <f aca="false">D7-C7</f>
        <v>2</v>
      </c>
      <c r="F7" s="4"/>
    </row>
    <row r="8" customFormat="false" ht="15" hidden="false" customHeight="false" outlineLevel="0" collapsed="false">
      <c r="A8" s="5" t="s">
        <v>11</v>
      </c>
      <c r="B8" s="5" t="s">
        <v>13</v>
      </c>
      <c r="C8" s="5" t="n">
        <v>2</v>
      </c>
      <c r="D8" s="5" t="n">
        <v>4</v>
      </c>
      <c r="E8" s="5" t="n">
        <f aca="false">D8-C8</f>
        <v>2</v>
      </c>
      <c r="F8" s="5"/>
    </row>
    <row r="9" customFormat="false" ht="15" hidden="false" customHeight="false" outlineLevel="0" collapsed="false">
      <c r="A9" s="4" t="s">
        <v>14</v>
      </c>
      <c r="B9" s="4" t="s">
        <v>15</v>
      </c>
      <c r="C9" s="4" t="n">
        <v>2</v>
      </c>
      <c r="D9" s="4" t="n">
        <v>5</v>
      </c>
      <c r="E9" s="4" t="n">
        <f aca="false">D9-C9</f>
        <v>3</v>
      </c>
      <c r="F9" s="4"/>
    </row>
    <row r="10" customFormat="false" ht="15" hidden="false" customHeight="false" outlineLevel="0" collapsed="false">
      <c r="A10" s="5" t="s">
        <v>14</v>
      </c>
      <c r="B10" s="5" t="s">
        <v>16</v>
      </c>
      <c r="C10" s="5" t="n">
        <v>1</v>
      </c>
      <c r="D10" s="5" t="n">
        <v>4</v>
      </c>
      <c r="E10" s="5" t="n">
        <f aca="false">D10-C10</f>
        <v>3</v>
      </c>
      <c r="F10" s="5"/>
    </row>
    <row r="11" customFormat="false" ht="15" hidden="false" customHeight="false" outlineLevel="0" collapsed="false">
      <c r="A11" s="4" t="s">
        <v>17</v>
      </c>
      <c r="B11" s="4" t="s">
        <v>18</v>
      </c>
      <c r="C11" s="4" t="n">
        <v>3</v>
      </c>
      <c r="D11" s="4" t="n">
        <v>5</v>
      </c>
      <c r="E11" s="4" t="n">
        <f aca="false">D11-C11</f>
        <v>2</v>
      </c>
      <c r="F11" s="4"/>
    </row>
    <row r="12" customFormat="false" ht="15" hidden="false" customHeight="false" outlineLevel="0" collapsed="false">
      <c r="A12" s="5" t="s">
        <v>17</v>
      </c>
      <c r="B12" s="5" t="s">
        <v>19</v>
      </c>
      <c r="C12" s="5" t="n">
        <v>2</v>
      </c>
      <c r="D12" s="5" t="n">
        <v>4</v>
      </c>
      <c r="E12" s="5" t="n">
        <f aca="false">D12-C12</f>
        <v>2</v>
      </c>
      <c r="F12" s="5"/>
    </row>
    <row r="13" customFormat="false" ht="15" hidden="false" customHeight="false" outlineLevel="0" collapsed="false">
      <c r="A13" s="4" t="s">
        <v>20</v>
      </c>
      <c r="B13" s="4" t="s">
        <v>21</v>
      </c>
      <c r="C13" s="4" t="n">
        <v>3</v>
      </c>
      <c r="D13" s="4" t="n">
        <v>5</v>
      </c>
      <c r="E13" s="4" t="n">
        <f aca="false">D13-C13</f>
        <v>2</v>
      </c>
      <c r="F13" s="4"/>
    </row>
    <row r="14" customFormat="false" ht="15" hidden="false" customHeight="false" outlineLevel="0" collapsed="false">
      <c r="A14" s="5" t="s">
        <v>20</v>
      </c>
      <c r="B14" s="5" t="s">
        <v>22</v>
      </c>
      <c r="C14" s="5" t="n">
        <v>2</v>
      </c>
      <c r="D14" s="5" t="n">
        <v>4</v>
      </c>
      <c r="E14" s="5" t="n">
        <f aca="false">D14-C14</f>
        <v>2</v>
      </c>
      <c r="F14" s="5"/>
    </row>
    <row r="15" customFormat="false" ht="15" hidden="false" customHeight="false" outlineLevel="0" collapsed="false">
      <c r="A15" s="4" t="s">
        <v>23</v>
      </c>
      <c r="B15" s="4" t="s">
        <v>24</v>
      </c>
      <c r="C15" s="4" t="n">
        <v>2</v>
      </c>
      <c r="D15" s="4" t="n">
        <v>4</v>
      </c>
      <c r="E15" s="4" t="n">
        <f aca="false">D15-C15</f>
        <v>2</v>
      </c>
      <c r="F15" s="4"/>
    </row>
    <row r="16" customFormat="false" ht="15" hidden="false" customHeight="false" outlineLevel="0" collapsed="false">
      <c r="A16" s="5" t="s">
        <v>23</v>
      </c>
      <c r="B16" s="5" t="s">
        <v>25</v>
      </c>
      <c r="C16" s="5" t="n">
        <v>2</v>
      </c>
      <c r="D16" s="5" t="n">
        <v>4</v>
      </c>
      <c r="E16" s="5" t="n">
        <f aca="false">D16-C16</f>
        <v>2</v>
      </c>
      <c r="F16" s="5"/>
    </row>
    <row r="17" customFormat="false" ht="23.85" hidden="false" customHeight="false" outlineLevel="0" collapsed="false">
      <c r="A17" s="4" t="s">
        <v>26</v>
      </c>
      <c r="B17" s="4" t="s">
        <v>27</v>
      </c>
      <c r="C17" s="4" t="n">
        <v>1</v>
      </c>
      <c r="D17" s="4" t="n">
        <v>4</v>
      </c>
      <c r="E17" s="4" t="n">
        <f aca="false">D17-C17</f>
        <v>3</v>
      </c>
      <c r="F17" s="4"/>
    </row>
    <row r="18" customFormat="false" ht="15" hidden="false" customHeight="false" outlineLevel="0" collapsed="false">
      <c r="A18" s="5" t="s">
        <v>26</v>
      </c>
      <c r="B18" s="5" t="s">
        <v>28</v>
      </c>
      <c r="C18" s="5" t="n">
        <v>1</v>
      </c>
      <c r="D18" s="5" t="n">
        <v>4</v>
      </c>
      <c r="E18" s="5" t="n">
        <f aca="false">D18-C18</f>
        <v>3</v>
      </c>
      <c r="F18" s="5"/>
    </row>
    <row r="19" customFormat="false" ht="15" hidden="false" customHeight="false" outlineLevel="0" collapsed="false">
      <c r="A19" s="4" t="s">
        <v>29</v>
      </c>
      <c r="B19" s="4" t="s">
        <v>30</v>
      </c>
      <c r="C19" s="4" t="n">
        <v>2</v>
      </c>
      <c r="D19" s="4" t="n">
        <v>4</v>
      </c>
      <c r="E19" s="4" t="n">
        <f aca="false">D19-C19</f>
        <v>2</v>
      </c>
      <c r="F19" s="4"/>
    </row>
    <row r="20" customFormat="false" ht="15" hidden="false" customHeight="false" outlineLevel="0" collapsed="false">
      <c r="A20" s="5" t="s">
        <v>29</v>
      </c>
      <c r="B20" s="5" t="s">
        <v>31</v>
      </c>
      <c r="C20" s="5" t="n">
        <v>1</v>
      </c>
      <c r="D20" s="5" t="n">
        <v>4</v>
      </c>
      <c r="E20" s="5" t="n">
        <f aca="false">D20-C20</f>
        <v>3</v>
      </c>
      <c r="F20" s="5"/>
    </row>
    <row r="21" customFormat="false" ht="23.85" hidden="false" customHeight="false" outlineLevel="0" collapsed="false">
      <c r="A21" s="4" t="s">
        <v>32</v>
      </c>
      <c r="B21" s="4" t="s">
        <v>33</v>
      </c>
      <c r="C21" s="4" t="n">
        <v>2</v>
      </c>
      <c r="D21" s="4" t="n">
        <v>5</v>
      </c>
      <c r="E21" s="4" t="n">
        <f aca="false">D21-C21</f>
        <v>3</v>
      </c>
      <c r="F21" s="4"/>
    </row>
    <row r="22" customFormat="false" ht="15" hidden="false" customHeight="false" outlineLevel="0" collapsed="false">
      <c r="A22" s="5" t="s">
        <v>32</v>
      </c>
      <c r="B22" s="5" t="s">
        <v>34</v>
      </c>
      <c r="C22" s="5" t="n">
        <v>1</v>
      </c>
      <c r="D22" s="5" t="n">
        <v>4</v>
      </c>
      <c r="E22" s="5" t="n">
        <f aca="false">D22-C22</f>
        <v>3</v>
      </c>
      <c r="F22" s="5"/>
    </row>
    <row r="23" customFormat="false" ht="15" hidden="false" customHeight="false" outlineLevel="0" collapsed="false">
      <c r="A23" s="4" t="s">
        <v>35</v>
      </c>
      <c r="B23" s="4" t="s">
        <v>36</v>
      </c>
      <c r="C23" s="4" t="n">
        <v>1</v>
      </c>
      <c r="D23" s="4" t="n">
        <v>4</v>
      </c>
      <c r="E23" s="4" t="n">
        <f aca="false">D23-C23</f>
        <v>3</v>
      </c>
      <c r="F23" s="4"/>
    </row>
    <row r="24" customFormat="false" ht="15" hidden="false" customHeight="false" outlineLevel="0" collapsed="false">
      <c r="A24" s="5" t="s">
        <v>35</v>
      </c>
      <c r="B24" s="5" t="s">
        <v>37</v>
      </c>
      <c r="C24" s="5" t="n">
        <v>2</v>
      </c>
      <c r="D24" s="5" t="n">
        <v>4</v>
      </c>
      <c r="E24" s="5" t="n">
        <f aca="false">D24-C24</f>
        <v>2</v>
      </c>
      <c r="F24" s="5"/>
    </row>
  </sheetData>
  <dataValidations count="1">
    <dataValidation allowBlank="true" errorStyle="stop" operator="between" showDropDown="false" showErrorMessage="false" showInputMessage="false" sqref="C5:D2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6" t="s">
        <v>38</v>
      </c>
    </row>
    <row r="3" customFormat="false" ht="15" hidden="false" customHeight="false" outlineLevel="0" collapsed="false">
      <c r="A3" s="7" t="s">
        <v>2</v>
      </c>
      <c r="B3" s="7" t="s">
        <v>39</v>
      </c>
      <c r="C3" s="7" t="s">
        <v>40</v>
      </c>
    </row>
    <row r="4" customFormat="false" ht="15" hidden="false" customHeight="false" outlineLevel="0" collapsed="false">
      <c r="A4" s="8" t="s">
        <v>8</v>
      </c>
      <c r="B4" s="8" t="n">
        <f aca="false">AVERAGEIF('Maturity Scoring'!A:A,A4,'Maturity Scoring'!C:C)</f>
        <v>2.5</v>
      </c>
      <c r="C4" s="8" t="n">
        <f aca="false">AVERAGEIF('Maturity Scoring'!A:A,A4,'Maturity Scoring'!D:D)</f>
        <v>4.5</v>
      </c>
    </row>
    <row r="5" customFormat="false" ht="15" hidden="false" customHeight="false" outlineLevel="0" collapsed="false">
      <c r="A5" s="8" t="s">
        <v>11</v>
      </c>
      <c r="B5" s="8" t="n">
        <f aca="false">AVERAGEIF('Maturity Scoring'!A:A,A5,'Maturity Scoring'!C:C)</f>
        <v>2.5</v>
      </c>
      <c r="C5" s="8" t="n">
        <f aca="false">AVERAGEIF('Maturity Scoring'!A:A,A5,'Maturity Scoring'!D:D)</f>
        <v>4.5</v>
      </c>
    </row>
    <row r="6" customFormat="false" ht="15" hidden="false" customHeight="false" outlineLevel="0" collapsed="false">
      <c r="A6" s="8" t="s">
        <v>14</v>
      </c>
      <c r="B6" s="8" t="n">
        <f aca="false">AVERAGEIF('Maturity Scoring'!A:A,A6,'Maturity Scoring'!C:C)</f>
        <v>1.5</v>
      </c>
      <c r="C6" s="8" t="n">
        <f aca="false">AVERAGEIF('Maturity Scoring'!A:A,A6,'Maturity Scoring'!D:D)</f>
        <v>4.5</v>
      </c>
    </row>
    <row r="7" customFormat="false" ht="15" hidden="false" customHeight="false" outlineLevel="0" collapsed="false">
      <c r="A7" s="8" t="s">
        <v>17</v>
      </c>
      <c r="B7" s="8" t="n">
        <f aca="false">AVERAGEIF('Maturity Scoring'!A:A,A7,'Maturity Scoring'!C:C)</f>
        <v>2.5</v>
      </c>
      <c r="C7" s="8" t="n">
        <f aca="false">AVERAGEIF('Maturity Scoring'!A:A,A7,'Maturity Scoring'!D:D)</f>
        <v>4.5</v>
      </c>
    </row>
    <row r="8" customFormat="false" ht="15" hidden="false" customHeight="false" outlineLevel="0" collapsed="false">
      <c r="A8" s="8" t="s">
        <v>20</v>
      </c>
      <c r="B8" s="8" t="n">
        <f aca="false">AVERAGEIF('Maturity Scoring'!A:A,A8,'Maturity Scoring'!C:C)</f>
        <v>2.5</v>
      </c>
      <c r="C8" s="8" t="n">
        <f aca="false">AVERAGEIF('Maturity Scoring'!A:A,A8,'Maturity Scoring'!D:D)</f>
        <v>4.5</v>
      </c>
    </row>
    <row r="9" customFormat="false" ht="15" hidden="false" customHeight="false" outlineLevel="0" collapsed="false">
      <c r="A9" s="8" t="s">
        <v>23</v>
      </c>
      <c r="B9" s="8" t="n">
        <f aca="false">AVERAGEIF('Maturity Scoring'!A:A,A9,'Maturity Scoring'!C:C)</f>
        <v>2</v>
      </c>
      <c r="C9" s="8" t="n">
        <f aca="false">AVERAGEIF('Maturity Scoring'!A:A,A9,'Maturity Scoring'!D:D)</f>
        <v>4</v>
      </c>
    </row>
    <row r="10" customFormat="false" ht="15" hidden="false" customHeight="false" outlineLevel="0" collapsed="false">
      <c r="A10" s="8" t="s">
        <v>26</v>
      </c>
      <c r="B10" s="8" t="n">
        <f aca="false">AVERAGEIF('Maturity Scoring'!A:A,A10,'Maturity Scoring'!C:C)</f>
        <v>1</v>
      </c>
      <c r="C10" s="8" t="n">
        <f aca="false">AVERAGEIF('Maturity Scoring'!A:A,A10,'Maturity Scoring'!D:D)</f>
        <v>4</v>
      </c>
    </row>
    <row r="11" customFormat="false" ht="15" hidden="false" customHeight="false" outlineLevel="0" collapsed="false">
      <c r="A11" s="8" t="s">
        <v>29</v>
      </c>
      <c r="B11" s="8" t="n">
        <f aca="false">AVERAGEIF('Maturity Scoring'!A:A,A11,'Maturity Scoring'!C:C)</f>
        <v>1.5</v>
      </c>
      <c r="C11" s="8" t="n">
        <f aca="false">AVERAGEIF('Maturity Scoring'!A:A,A11,'Maturity Scoring'!D:D)</f>
        <v>4</v>
      </c>
    </row>
    <row r="12" customFormat="false" ht="15" hidden="false" customHeight="false" outlineLevel="0" collapsed="false">
      <c r="A12" s="8" t="s">
        <v>32</v>
      </c>
      <c r="B12" s="8" t="n">
        <f aca="false">AVERAGEIF('Maturity Scoring'!A:A,A12,'Maturity Scoring'!C:C)</f>
        <v>1.5</v>
      </c>
      <c r="C12" s="8" t="n">
        <f aca="false">AVERAGEIF('Maturity Scoring'!A:A,A12,'Maturity Scoring'!D:D)</f>
        <v>4.5</v>
      </c>
    </row>
    <row r="13" customFormat="false" ht="15" hidden="false" customHeight="false" outlineLevel="0" collapsed="false">
      <c r="A13" s="8" t="s">
        <v>35</v>
      </c>
      <c r="B13" s="8" t="n">
        <f aca="false">AVERAGEIF('Maturity Scoring'!A:A,A13,'Maturity Scoring'!C:C)</f>
        <v>1.5</v>
      </c>
      <c r="C13" s="8" t="n">
        <f aca="false">AVERAGEIF('Maturity Scoring'!A:A,A13,'Maturity Scoring'!D:D)</f>
        <v>4</v>
      </c>
    </row>
    <row r="15" customFormat="false" ht="15" hidden="false" customHeight="false" outlineLevel="0" collapsed="false">
      <c r="A15" s="9" t="s">
        <v>41</v>
      </c>
      <c r="B15" s="9" t="n">
        <f aca="false">AVERAGE('Maturity Scoring'!C5:C24)</f>
        <v>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6" t="s">
        <v>42</v>
      </c>
    </row>
    <row r="3" customFormat="false" ht="15" hidden="false" customHeight="false" outlineLevel="0" collapsed="false">
      <c r="A3" s="7" t="s">
        <v>43</v>
      </c>
      <c r="B3" s="7" t="s">
        <v>44</v>
      </c>
    </row>
    <row r="4" customFormat="false" ht="15" hidden="false" customHeight="false" outlineLevel="0" collapsed="false">
      <c r="A4" s="10" t="s">
        <v>45</v>
      </c>
      <c r="B4" s="11" t="s">
        <v>46</v>
      </c>
    </row>
    <row r="5" customFormat="false" ht="15" hidden="false" customHeight="false" outlineLevel="0" collapsed="false">
      <c r="A5" s="10" t="s">
        <v>47</v>
      </c>
      <c r="B5" s="11" t="s">
        <v>48</v>
      </c>
    </row>
    <row r="6" customFormat="false" ht="15" hidden="false" customHeight="false" outlineLevel="0" collapsed="false">
      <c r="A6" s="10" t="s">
        <v>49</v>
      </c>
      <c r="B6" s="11" t="s">
        <v>50</v>
      </c>
    </row>
    <row r="7" customFormat="false" ht="15" hidden="false" customHeight="false" outlineLevel="0" collapsed="false">
      <c r="A7" s="10" t="s">
        <v>51</v>
      </c>
      <c r="B7" s="11" t="s">
        <v>52</v>
      </c>
    </row>
    <row r="8" customFormat="false" ht="23.85" hidden="false" customHeight="false" outlineLevel="0" collapsed="false">
      <c r="A8" s="10" t="s">
        <v>53</v>
      </c>
      <c r="B8" s="1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2026-07-03T15:30:29Z</dcterms:created>
  <dc:creator>openpyxl</dc:creator>
  <dc:description/>
  <dc:language>en-US</dc:language>
  <cp:lastModifiedBy/>
  <dcterms:modified xsi:type="dcterms:W3CDTF">2026-07-03T15:30:31Z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