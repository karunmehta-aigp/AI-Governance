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ystem Register" sheetId="2" state="visible" r:id="rId4"/>
    <sheet name="High-Risk Monitoring" sheetId="3" state="visible" r:id="rId5"/>
    <sheet name="Vendor Manager" sheetId="4" state="visible" r:id="rId6"/>
    <sheet name="Data Processing Tracker" sheetId="5" state="visible" r:id="rId7"/>
    <sheet name="Audit-Ready Report" sheetId="6" state="visible" r:id="rId8"/>
  </sheets>
  <definedNames>
    <definedName function="false" hidden="false" localSheetId="5" name="_xlnm.Print_Area" vbProcedure="false">'Audit-Ready Report'!$A$1:$H$30</definedName>
    <definedName function="false" hidden="true" localSheetId="1" name="_xlnm._FilterDatabase" vbProcedure="false">'System Register'!$A$1:$U$7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<sst xmlns="http://schemas.openxmlformats.org/spreadsheetml/2006/main" count="252" uniqueCount="154">
  <si>
    <t xml:space="preserve">AI Inventory Register Pro — Dashboard</t>
  </si>
  <si>
    <t xml:space="preserve">Live summary — all figures calculate automatically from the System Register.</t>
  </si>
  <si>
    <t xml:space="preserve">Metric</t>
  </si>
  <si>
    <t xml:space="preserve">Value</t>
  </si>
  <si>
    <t xml:space="preserve">Risk Tier</t>
  </si>
  <si>
    <t xml:space="preserve">Count</t>
  </si>
  <si>
    <t xml:space="preserve">Total AI Systems</t>
  </si>
  <si>
    <t xml:space="preserve">Unacceptable</t>
  </si>
  <si>
    <t xml:space="preserve">High-Risk Systems</t>
  </si>
  <si>
    <t xml:space="preserve">High</t>
  </si>
  <si>
    <t xml:space="preserve">Limited-Risk Systems</t>
  </si>
  <si>
    <t xml:space="preserve">Limited</t>
  </si>
  <si>
    <t xml:space="preserve">Minimal-Risk Systems</t>
  </si>
  <si>
    <t xml:space="preserve">Minimal</t>
  </si>
  <si>
    <t xml:space="preserve">ADM Systems</t>
  </si>
  <si>
    <t xml:space="preserve">Systems Requiring DPIA</t>
  </si>
  <si>
    <t xml:space="preserve">DPIAs Complete</t>
  </si>
  <si>
    <t xml:space="preserve">Systems Overdue for Review</t>
  </si>
  <si>
    <t xml:space="preserve">Systems Due Soon (30 days)</t>
  </si>
  <si>
    <t xml:space="preserve">Active Vendors</t>
  </si>
  <si>
    <t xml:space="preserve">System ID</t>
  </si>
  <si>
    <t xml:space="preserve">System Name</t>
  </si>
  <si>
    <t xml:space="preserve">Business Owner</t>
  </si>
  <si>
    <t xml:space="preserve">Technical Owner</t>
  </si>
  <si>
    <t xml:space="preserve">Business Unit</t>
  </si>
  <si>
    <t xml:space="preserve">Vendor / In-house</t>
  </si>
  <si>
    <t xml:space="preserve">ADM System? (Y/N)</t>
  </si>
  <si>
    <t xml:space="preserve">EU AI Act Risk Tier</t>
  </si>
  <si>
    <t xml:space="preserve">Regulatory Trigger(s)</t>
  </si>
  <si>
    <t xml:space="preserve">Data Categories Processed</t>
  </si>
  <si>
    <t xml:space="preserve">Personal Data? (Y/N)</t>
  </si>
  <si>
    <t xml:space="preserve">DPIA Required? (Y/N)</t>
  </si>
  <si>
    <t xml:space="preserve">DPIA Status</t>
  </si>
  <si>
    <t xml:space="preserve">Data Retention Period</t>
  </si>
  <si>
    <t xml:space="preserve">Deployment Date</t>
  </si>
  <si>
    <t xml:space="preserve">Last Review Date</t>
  </si>
  <si>
    <t xml:space="preserve">Review Frequency (months)</t>
  </si>
  <si>
    <t xml:space="preserve">Next Review Due</t>
  </si>
  <si>
    <t xml:space="preserve">Days Until Review</t>
  </si>
  <si>
    <t xml:space="preserve">Review Status</t>
  </si>
  <si>
    <t xml:space="preserve">System Status</t>
  </si>
  <si>
    <t xml:space="preserve">High Rank (helper)</t>
  </si>
  <si>
    <t xml:space="preserve">ORG-AI-001</t>
  </si>
  <si>
    <t xml:space="preserve">Credit Risk Scoring Model</t>
  </si>
  <si>
    <t xml:space="preserve">Head of Consumer Lending</t>
  </si>
  <si>
    <t xml:space="preserve">ML Engineering Lead</t>
  </si>
  <si>
    <t xml:space="preserve">Retail Banking</t>
  </si>
  <si>
    <t xml:space="preserve">In-house</t>
  </si>
  <si>
    <t xml:space="preserve">Y</t>
  </si>
  <si>
    <t xml:space="preserve">EU AI Act Annex III(5)(b)</t>
  </si>
  <si>
    <t xml:space="preserve">Financial/credit data</t>
  </si>
  <si>
    <t xml:space="preserve">Complete</t>
  </si>
  <si>
    <t xml:space="preserve">7 years post-decision</t>
  </si>
  <si>
    <t xml:space="preserve">2025-03-01</t>
  </si>
  <si>
    <t xml:space="preserve">2026-04-01</t>
  </si>
  <si>
    <t xml:space="preserve">Active</t>
  </si>
  <si>
    <t xml:space="preserve">ORG-AI-002</t>
  </si>
  <si>
    <t xml:space="preserve">Customer Service Chatbot</t>
  </si>
  <si>
    <t xml:space="preserve">Head of Customer Experience</t>
  </si>
  <si>
    <t xml:space="preserve">Platform Engineering Lead</t>
  </si>
  <si>
    <t xml:space="preserve">Customer Ops</t>
  </si>
  <si>
    <t xml:space="preserve">Vendor A</t>
  </si>
  <si>
    <t xml:space="preserve">N</t>
  </si>
  <si>
    <t xml:space="preserve">EU AI Act Art. 50</t>
  </si>
  <si>
    <t xml:space="preserve">Contact/interaction data</t>
  </si>
  <si>
    <t xml:space="preserve">N/A</t>
  </si>
  <si>
    <t xml:space="preserve">2 years</t>
  </si>
  <si>
    <t xml:space="preserve">2024-11-15</t>
  </si>
  <si>
    <t xml:space="preserve">2026-02-15</t>
  </si>
  <si>
    <t xml:space="preserve">ORG-AI-003</t>
  </si>
  <si>
    <t xml:space="preserve">AML Transaction Monitoring System</t>
  </si>
  <si>
    <t xml:space="preserve">Head of Financial Crime</t>
  </si>
  <si>
    <t xml:space="preserve">Data Science Lead</t>
  </si>
  <si>
    <t xml:space="preserve">Compliance</t>
  </si>
  <si>
    <t xml:space="preserve">EU AI Act Annex III; AMLD</t>
  </si>
  <si>
    <t xml:space="preserve">Transaction/financial data</t>
  </si>
  <si>
    <t xml:space="preserve">5 years</t>
  </si>
  <si>
    <t xml:space="preserve">2023-06-01</t>
  </si>
  <si>
    <t xml:space="preserve">2026-05-01</t>
  </si>
  <si>
    <t xml:space="preserve">ORG-AI-004</t>
  </si>
  <si>
    <t xml:space="preserve">Internal Meeting Summariser</t>
  </si>
  <si>
    <t xml:space="preserve">IT Productivity Lead</t>
  </si>
  <si>
    <t xml:space="preserve">IT Platform Lead</t>
  </si>
  <si>
    <t xml:space="preserve">Corporate IT</t>
  </si>
  <si>
    <t xml:space="preserve">Vendor B</t>
  </si>
  <si>
    <t xml:space="preserve">Meeting audio/text</t>
  </si>
  <si>
    <t xml:space="preserve">90 days</t>
  </si>
  <si>
    <t xml:space="preserve">2025-01-10</t>
  </si>
  <si>
    <t xml:space="preserve">2026-01-10</t>
  </si>
  <si>
    <t xml:space="preserve">ORG-AI-005</t>
  </si>
  <si>
    <t xml:space="preserve">Recruitment Screening Tool (TalentBridge Screener)</t>
  </si>
  <si>
    <t xml:space="preserve">Head of Talent Acquisition</t>
  </si>
  <si>
    <t xml:space="preserve">HR Systems Lead</t>
  </si>
  <si>
    <t xml:space="preserve">Human Resources</t>
  </si>
  <si>
    <t xml:space="preserve">Vendor C</t>
  </si>
  <si>
    <t xml:space="preserve">EU AI Act Annex III(4)(a)</t>
  </si>
  <si>
    <t xml:space="preserve">Candidate/employment data</t>
  </si>
  <si>
    <t xml:space="preserve">In Progress — due 2026-08-01</t>
  </si>
  <si>
    <t xml:space="preserve">3 years post-decision</t>
  </si>
  <si>
    <t xml:space="preserve">2024-09-01</t>
  </si>
  <si>
    <t xml:space="preserve">2026-03-01</t>
  </si>
  <si>
    <t xml:space="preserve">ORG-AI-006</t>
  </si>
  <si>
    <t xml:space="preserve">Voice Biometric Authentication System</t>
  </si>
  <si>
    <t xml:space="preserve">Head of Digital Channels</t>
  </si>
  <si>
    <t xml:space="preserve">Security Engineering Lead</t>
  </si>
  <si>
    <t xml:space="preserve">Digital Banking</t>
  </si>
  <si>
    <t xml:space="preserve">EU AI Act Annex III(1)</t>
  </si>
  <si>
    <t xml:space="preserve">Biometric voice data</t>
  </si>
  <si>
    <t xml:space="preserve">Duration of account + 1 year</t>
  </si>
  <si>
    <t xml:space="preserve">2024-02-01</t>
  </si>
  <si>
    <t xml:space="preserve">2026-01-15</t>
  </si>
  <si>
    <t xml:space="preserve">High-Risk AI System Monitoring</t>
  </si>
  <si>
    <t xml:space="preserve">Auto-curated view — pulls all systems flagged High risk in the System Register. Update the register; this view reflects it via formula.</t>
  </si>
  <si>
    <t xml:space="preserve">Human Oversight Named? (Y/N)</t>
  </si>
  <si>
    <t xml:space="preserve">Last Incident Logged</t>
  </si>
  <si>
    <t xml:space="preserve">Performance Within Threshold? (Y/N)</t>
  </si>
  <si>
    <t xml:space="preserve">Notes</t>
  </si>
  <si>
    <t xml:space="preserve">None this quarter</t>
  </si>
  <si>
    <t xml:space="preserve">Vendor Name</t>
  </si>
  <si>
    <t xml:space="preserve">Primary Contact</t>
  </si>
  <si>
    <t xml:space="preserve">Contract Start</t>
  </si>
  <si>
    <t xml:space="preserve">Contract End</t>
  </si>
  <si>
    <t xml:space="preserve">Systems Supplied</t>
  </si>
  <si>
    <t xml:space="preserve">Vendor Risk Assessment Status</t>
  </si>
  <si>
    <t xml:space="preserve">Vendor Risk Assessment Date</t>
  </si>
  <si>
    <t xml:space="preserve">Sub-Processors Disclosed? (Y/N)</t>
  </si>
  <si>
    <t xml:space="preserve">Audit Rights in Contract? (Y/N)</t>
  </si>
  <si>
    <t xml:space="preserve">Incident Notification SLA (hrs)</t>
  </si>
  <si>
    <t xml:space="preserve">Jane — Account Manager</t>
  </si>
  <si>
    <t xml:space="preserve">2023-01-15</t>
  </si>
  <si>
    <t xml:space="preserve">2027-01-14</t>
  </si>
  <si>
    <t xml:space="preserve">2025-11-01</t>
  </si>
  <si>
    <t xml:space="preserve">Chatbot + biometric auth platform</t>
  </si>
  <si>
    <t xml:space="preserve">Sam — Customer Success</t>
  </si>
  <si>
    <t xml:space="preserve">2024-06-01</t>
  </si>
  <si>
    <t xml:space="preserve">2026-05-31</t>
  </si>
  <si>
    <t xml:space="preserve">2025-09-15</t>
  </si>
  <si>
    <t xml:space="preserve">Contract renewal due — no audit rights clause, flagged for renegotiation</t>
  </si>
  <si>
    <t xml:space="preserve">Priya — Partnerships</t>
  </si>
  <si>
    <t xml:space="preserve">2026-08-31</t>
  </si>
  <si>
    <t xml:space="preserve">Sub-processor disclosure outstanding — linked to DPIA in progress</t>
  </si>
  <si>
    <t xml:space="preserve">Data Categories</t>
  </si>
  <si>
    <t xml:space="preserve">Lawful Basis</t>
  </si>
  <si>
    <t xml:space="preserve">DPIA Completion Date</t>
  </si>
  <si>
    <t xml:space="preserve">Retention Period</t>
  </si>
  <si>
    <t xml:space="preserve">Cross-Border Transfer? (Y/N)</t>
  </si>
  <si>
    <t xml:space="preserve">Data Subject Rights Process Documented? (Y/N)</t>
  </si>
  <si>
    <t xml:space="preserve">Legitimate interest / contractual necessity</t>
  </si>
  <si>
    <t xml:space="preserve">AI Inventory — Audit-Ready Summary Report</t>
  </si>
  <si>
    <t xml:space="preserve">This sheet is formatted for printing or PDF export as a point-in-time audit artefact. Print area is pre-set to A1:H30.</t>
  </si>
  <si>
    <t xml:space="preserve">Portfolio Summary</t>
  </si>
  <si>
    <t xml:space="preserve">Total Systems</t>
  </si>
  <si>
    <t xml:space="preserve">DPIAs Outstanding</t>
  </si>
  <si>
    <t xml:space="preserve">Full System Listing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</si>
</sst>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13"/>
      <color rgb="FF1F3864"/>
      <name val="Calibri"/>
      <family val="0"/>
      <charset val="1"/>
    </font>
    <font>
      <i val="true"/>
      <sz val="9"/>
      <name val="Calibri"/>
      <family val="0"/>
      <charset val="1"/>
    </font>
    <font>
      <b val="true"/>
      <sz val="12"/>
      <color rgb="FF1F3864"/>
      <name val="Cambria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Systems by Risk Tier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Dashboard!$D$5:$D$8</c:f>
              <c:strCache>
                <c:ptCount val="4"/>
                <c:pt idx="0">
                  <c:v>Unacceptable</c:v>
                </c:pt>
                <c:pt idx="1">
                  <c:v>High</c:v>
                </c:pt>
                <c:pt idx="2">
                  <c:v>Limited</c:v>
                </c:pt>
                <c:pt idx="3">
                  <c:v>Minimal</c:v>
                </c:pt>
              </c:strCache>
            </c:strRef>
          </c:cat>
          <c:val>
            <c:numRef>
              <c:f>Dashboard!$E$5:$E$8</c:f>
              <c:numCache>
                <c:formatCode>General</c:formatCode>
                <c:ptCount val="4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9</xdr:row>
      <xdr:rowOff>131040</xdr:rowOff>
    </xdr:from>
    <xdr:to>
      <xdr:col>9</xdr:col>
      <xdr:colOff>182160</xdr:colOff>
      <xdr:row>24</xdr:row>
      <xdr:rowOff>153000</xdr:rowOff>
    </xdr:to>
    <xdr:graphicFrame>
      <xdr:nvGraphicFramePr>
        <xdr:cNvPr id="0" name="Chart 1"/>
        <xdr:cNvGraphicFramePr/>
      </xdr:nvGraphicFramePr>
      <xdr:xfrm>
        <a:off x="3571920" y="190512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D4" s="3" t="s">
        <v>4</v>
      </c>
      <c r="E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COUNTA('System Register'!A2:A500)</f>
        <v>6</v>
      </c>
      <c r="D5" s="6" t="s">
        <v>7</v>
      </c>
      <c r="E5" s="6" t="n">
        <f aca="false">COUNTIF('System Register'!H:H,"Unacceptable")</f>
        <v>0</v>
      </c>
    </row>
    <row r="6" customFormat="false" ht="15" hidden="false" customHeight="false" outlineLevel="0" collapsed="false">
      <c r="A6" s="4" t="s">
        <v>8</v>
      </c>
      <c r="B6" s="5" t="n">
        <f aca="false">COUNTIF('System Register'!H:H,"High")</f>
        <v>4</v>
      </c>
      <c r="D6" s="6" t="s">
        <v>9</v>
      </c>
      <c r="E6" s="6" t="n">
        <f aca="false">COUNTIF('System Register'!H:H,"High")</f>
        <v>4</v>
      </c>
    </row>
    <row r="7" customFormat="false" ht="15" hidden="false" customHeight="false" outlineLevel="0" collapsed="false">
      <c r="A7" s="4" t="s">
        <v>10</v>
      </c>
      <c r="B7" s="5" t="n">
        <f aca="false">COUNTIF('System Register'!H:H,"Limited")</f>
        <v>1</v>
      </c>
      <c r="D7" s="6" t="s">
        <v>11</v>
      </c>
      <c r="E7" s="6" t="n">
        <f aca="false">COUNTIF('System Register'!H:H,"Limited")</f>
        <v>1</v>
      </c>
    </row>
    <row r="8" customFormat="false" ht="15" hidden="false" customHeight="false" outlineLevel="0" collapsed="false">
      <c r="A8" s="4" t="s">
        <v>12</v>
      </c>
      <c r="B8" s="5" t="n">
        <f aca="false">COUNTIF('System Register'!H:H,"Minimal")</f>
        <v>1</v>
      </c>
      <c r="D8" s="6" t="s">
        <v>13</v>
      </c>
      <c r="E8" s="6" t="n">
        <f aca="false">COUNTIF('System Register'!H:H,"Minimal")</f>
        <v>1</v>
      </c>
    </row>
    <row r="9" customFormat="false" ht="15" hidden="false" customHeight="false" outlineLevel="0" collapsed="false">
      <c r="A9" s="4" t="s">
        <v>14</v>
      </c>
      <c r="B9" s="5" t="n">
        <f aca="false">COUNTIF('System Register'!G:G,"Y")</f>
        <v>4</v>
      </c>
    </row>
    <row r="10" customFormat="false" ht="15" hidden="false" customHeight="false" outlineLevel="0" collapsed="false">
      <c r="A10" s="4" t="s">
        <v>15</v>
      </c>
      <c r="B10" s="5" t="n">
        <f aca="false">COUNTIF('System Register'!L:L,"Y")</f>
        <v>4</v>
      </c>
    </row>
    <row r="11" customFormat="false" ht="15" hidden="false" customHeight="false" outlineLevel="0" collapsed="false">
      <c r="A11" s="4" t="s">
        <v>16</v>
      </c>
      <c r="B11" s="5" t="n">
        <f aca="false">COUNTIF('System Register'!M:M,"Complete")</f>
        <v>3</v>
      </c>
    </row>
    <row r="12" customFormat="false" ht="15" hidden="false" customHeight="false" outlineLevel="0" collapsed="false">
      <c r="A12" s="4" t="s">
        <v>17</v>
      </c>
      <c r="B12" s="5" t="n">
        <f aca="false">COUNTIF('System Register'!T:T,"OVERDUE")</f>
        <v>3</v>
      </c>
    </row>
    <row r="13" customFormat="false" ht="15" hidden="false" customHeight="false" outlineLevel="0" collapsed="false">
      <c r="A13" s="4" t="s">
        <v>18</v>
      </c>
      <c r="B13" s="5" t="n">
        <f aca="false">COUNTIF('System Register'!T:T,"DUE SOON")</f>
        <v>1</v>
      </c>
    </row>
    <row r="14" customFormat="false" ht="15" hidden="false" customHeight="false" outlineLevel="0" collapsed="false">
      <c r="A14" s="4" t="s">
        <v>19</v>
      </c>
      <c r="B14" s="5" t="n">
        <f aca="false">COUNTA('Vendor Manager'!A2:A100)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2" min="11" style="0" width="10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9" min="15" style="0" width="12"/>
    <col collapsed="false" customWidth="true" hidden="false" outlineLevel="0" max="20" min="20" style="0" width="13"/>
    <col collapsed="false" customWidth="true" hidden="false" outlineLevel="0" max="21" min="21" style="0" width="11"/>
    <col collapsed="false" customWidth="true" hidden="true" outlineLevel="0" max="22" min="22" style="0" width="10"/>
  </cols>
  <sheetData>
    <row r="1" customFormat="false" ht="30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8" t="s">
        <v>41</v>
      </c>
    </row>
    <row r="2" customFormat="false" ht="23.85" hidden="false" customHeight="false" outlineLevel="0" collapsed="false">
      <c r="A2" s="9" t="s">
        <v>42</v>
      </c>
      <c r="B2" s="9" t="s">
        <v>43</v>
      </c>
      <c r="C2" s="9" t="s">
        <v>44</v>
      </c>
      <c r="D2" s="9" t="s">
        <v>45</v>
      </c>
      <c r="E2" s="9" t="s">
        <v>46</v>
      </c>
      <c r="F2" s="9" t="s">
        <v>47</v>
      </c>
      <c r="G2" s="9" t="s">
        <v>48</v>
      </c>
      <c r="H2" s="9" t="s">
        <v>9</v>
      </c>
      <c r="I2" s="9" t="s">
        <v>49</v>
      </c>
      <c r="J2" s="9" t="s">
        <v>50</v>
      </c>
      <c r="K2" s="9" t="s">
        <v>48</v>
      </c>
      <c r="L2" s="9" t="s">
        <v>48</v>
      </c>
      <c r="M2" s="9" t="s">
        <v>51</v>
      </c>
      <c r="N2" s="9" t="s">
        <v>52</v>
      </c>
      <c r="O2" s="9" t="s">
        <v>53</v>
      </c>
      <c r="P2" s="9" t="s">
        <v>54</v>
      </c>
      <c r="Q2" s="9" t="n">
        <v>3</v>
      </c>
      <c r="R2" s="10" t="n">
        <f aca="false">EDATE(P2,Q2)</f>
        <v>46204</v>
      </c>
      <c r="S2" s="11" t="n">
        <f aca="true">R2-TODAY()</f>
        <v>-2</v>
      </c>
      <c r="T2" s="12" t="str">
        <f aca="false">IF(S2&lt;0,"OVERDUE",IF(S2&lt;=30,"DUE SOON","OK"))</f>
        <v>OVERDUE</v>
      </c>
      <c r="U2" s="9" t="s">
        <v>55</v>
      </c>
      <c r="V2" s="13" t="n">
        <f aca="false">IF(H2="High",COUNTIF($H$2:H2,"High"),"")</f>
        <v>1</v>
      </c>
    </row>
    <row r="3" customFormat="false" ht="23.85" hidden="false" customHeight="false" outlineLevel="0" collapsed="false">
      <c r="A3" s="14" t="s">
        <v>56</v>
      </c>
      <c r="B3" s="14" t="s">
        <v>57</v>
      </c>
      <c r="C3" s="14" t="s">
        <v>58</v>
      </c>
      <c r="D3" s="14" t="s">
        <v>59</v>
      </c>
      <c r="E3" s="14" t="s">
        <v>60</v>
      </c>
      <c r="F3" s="14" t="s">
        <v>61</v>
      </c>
      <c r="G3" s="14" t="s">
        <v>62</v>
      </c>
      <c r="H3" s="14" t="s">
        <v>11</v>
      </c>
      <c r="I3" s="14" t="s">
        <v>63</v>
      </c>
      <c r="J3" s="14" t="s">
        <v>64</v>
      </c>
      <c r="K3" s="14" t="s">
        <v>48</v>
      </c>
      <c r="L3" s="14" t="s">
        <v>62</v>
      </c>
      <c r="M3" s="14" t="s">
        <v>65</v>
      </c>
      <c r="N3" s="14" t="s">
        <v>66</v>
      </c>
      <c r="O3" s="14" t="s">
        <v>67</v>
      </c>
      <c r="P3" s="14" t="s">
        <v>68</v>
      </c>
      <c r="Q3" s="14" t="n">
        <v>6</v>
      </c>
      <c r="R3" s="15" t="n">
        <f aca="false">EDATE(P3,Q3)</f>
        <v>46249</v>
      </c>
      <c r="S3" s="16" t="n">
        <f aca="true">R3-TODAY()</f>
        <v>43</v>
      </c>
      <c r="T3" s="17" t="str">
        <f aca="false">IF(S3&lt;0,"OVERDUE",IF(S3&lt;=30,"DUE SOON","OK"))</f>
        <v>OK</v>
      </c>
      <c r="U3" s="14" t="s">
        <v>55</v>
      </c>
      <c r="V3" s="13" t="str">
        <f aca="false">IF(H3="High",COUNTIF($H$2:H3,"High"),"")</f>
        <v/>
      </c>
    </row>
    <row r="4" customFormat="false" ht="23.85" hidden="false" customHeight="false" outlineLevel="0" collapsed="false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47</v>
      </c>
      <c r="G4" s="9" t="s">
        <v>48</v>
      </c>
      <c r="H4" s="9" t="s">
        <v>9</v>
      </c>
      <c r="I4" s="9" t="s">
        <v>74</v>
      </c>
      <c r="J4" s="9" t="s">
        <v>75</v>
      </c>
      <c r="K4" s="9" t="s">
        <v>48</v>
      </c>
      <c r="L4" s="9" t="s">
        <v>48</v>
      </c>
      <c r="M4" s="9" t="s">
        <v>51</v>
      </c>
      <c r="N4" s="9" t="s">
        <v>76</v>
      </c>
      <c r="O4" s="9" t="s">
        <v>77</v>
      </c>
      <c r="P4" s="9" t="s">
        <v>78</v>
      </c>
      <c r="Q4" s="9" t="n">
        <v>3</v>
      </c>
      <c r="R4" s="10" t="n">
        <f aca="false">EDATE(P4,Q4)</f>
        <v>46235</v>
      </c>
      <c r="S4" s="11" t="n">
        <f aca="true">R4-TODAY()</f>
        <v>29</v>
      </c>
      <c r="T4" s="12" t="str">
        <f aca="false">IF(S4&lt;0,"OVERDUE",IF(S4&lt;=30,"DUE SOON","OK"))</f>
        <v>DUE SOON</v>
      </c>
      <c r="U4" s="9" t="s">
        <v>55</v>
      </c>
      <c r="V4" s="13" t="n">
        <f aca="false">IF(H4="High",COUNTIF($H$2:H4,"High"),"")</f>
        <v>2</v>
      </c>
    </row>
    <row r="5" customFormat="false" ht="15" hidden="false" customHeight="false" outlineLevel="0" collapsed="false">
      <c r="A5" s="14" t="s">
        <v>79</v>
      </c>
      <c r="B5" s="14" t="s">
        <v>80</v>
      </c>
      <c r="C5" s="14" t="s">
        <v>81</v>
      </c>
      <c r="D5" s="14" t="s">
        <v>82</v>
      </c>
      <c r="E5" s="14" t="s">
        <v>83</v>
      </c>
      <c r="F5" s="14" t="s">
        <v>84</v>
      </c>
      <c r="G5" s="14" t="s">
        <v>62</v>
      </c>
      <c r="H5" s="14" t="s">
        <v>13</v>
      </c>
      <c r="I5" s="14" t="s">
        <v>65</v>
      </c>
      <c r="J5" s="14" t="s">
        <v>85</v>
      </c>
      <c r="K5" s="14" t="s">
        <v>62</v>
      </c>
      <c r="L5" s="14" t="s">
        <v>62</v>
      </c>
      <c r="M5" s="14" t="s">
        <v>65</v>
      </c>
      <c r="N5" s="14" t="s">
        <v>86</v>
      </c>
      <c r="O5" s="14" t="s">
        <v>87</v>
      </c>
      <c r="P5" s="14" t="s">
        <v>88</v>
      </c>
      <c r="Q5" s="14" t="n">
        <v>12</v>
      </c>
      <c r="R5" s="15" t="n">
        <f aca="false">EDATE(P5,Q5)</f>
        <v>46397</v>
      </c>
      <c r="S5" s="16" t="n">
        <f aca="true">R5-TODAY()</f>
        <v>191</v>
      </c>
      <c r="T5" s="17" t="str">
        <f aca="false">IF(S5&lt;0,"OVERDUE",IF(S5&lt;=30,"DUE SOON","OK"))</f>
        <v>OK</v>
      </c>
      <c r="U5" s="14" t="s">
        <v>55</v>
      </c>
      <c r="V5" s="13" t="str">
        <f aca="false">IF(H5="High",COUNTIF($H$2:H5,"High"),"")</f>
        <v/>
      </c>
    </row>
    <row r="6" customFormat="false" ht="23.85" hidden="false" customHeight="false" outlineLevel="0" collapsed="false">
      <c r="A6" s="9" t="s">
        <v>89</v>
      </c>
      <c r="B6" s="9" t="s">
        <v>90</v>
      </c>
      <c r="C6" s="9" t="s">
        <v>91</v>
      </c>
      <c r="D6" s="9" t="s">
        <v>92</v>
      </c>
      <c r="E6" s="9" t="s">
        <v>93</v>
      </c>
      <c r="F6" s="9" t="s">
        <v>94</v>
      </c>
      <c r="G6" s="9" t="s">
        <v>48</v>
      </c>
      <c r="H6" s="9" t="s">
        <v>9</v>
      </c>
      <c r="I6" s="9" t="s">
        <v>95</v>
      </c>
      <c r="J6" s="9" t="s">
        <v>96</v>
      </c>
      <c r="K6" s="9" t="s">
        <v>48</v>
      </c>
      <c r="L6" s="9" t="s">
        <v>48</v>
      </c>
      <c r="M6" s="9" t="s">
        <v>97</v>
      </c>
      <c r="N6" s="9" t="s">
        <v>98</v>
      </c>
      <c r="O6" s="9" t="s">
        <v>99</v>
      </c>
      <c r="P6" s="9" t="s">
        <v>100</v>
      </c>
      <c r="Q6" s="9" t="n">
        <v>3</v>
      </c>
      <c r="R6" s="10" t="n">
        <f aca="false">EDATE(P6,Q6)</f>
        <v>46174</v>
      </c>
      <c r="S6" s="11" t="n">
        <f aca="true">R6-TODAY()</f>
        <v>-32</v>
      </c>
      <c r="T6" s="12" t="str">
        <f aca="false">IF(S6&lt;0,"OVERDUE",IF(S6&lt;=30,"DUE SOON","OK"))</f>
        <v>OVERDUE</v>
      </c>
      <c r="U6" s="9" t="s">
        <v>55</v>
      </c>
      <c r="V6" s="13" t="n">
        <f aca="false">IF(H6="High",COUNTIF($H$2:H6,"High"),"")</f>
        <v>3</v>
      </c>
    </row>
    <row r="7" customFormat="false" ht="23.85" hidden="false" customHeight="false" outlineLevel="0" collapsed="false">
      <c r="A7" s="14" t="s">
        <v>101</v>
      </c>
      <c r="B7" s="14" t="s">
        <v>102</v>
      </c>
      <c r="C7" s="14" t="s">
        <v>103</v>
      </c>
      <c r="D7" s="14" t="s">
        <v>104</v>
      </c>
      <c r="E7" s="14" t="s">
        <v>105</v>
      </c>
      <c r="F7" s="14" t="s">
        <v>61</v>
      </c>
      <c r="G7" s="14" t="s">
        <v>48</v>
      </c>
      <c r="H7" s="14" t="s">
        <v>9</v>
      </c>
      <c r="I7" s="14" t="s">
        <v>106</v>
      </c>
      <c r="J7" s="14" t="s">
        <v>107</v>
      </c>
      <c r="K7" s="14" t="s">
        <v>48</v>
      </c>
      <c r="L7" s="14" t="s">
        <v>48</v>
      </c>
      <c r="M7" s="14" t="s">
        <v>51</v>
      </c>
      <c r="N7" s="14" t="s">
        <v>108</v>
      </c>
      <c r="O7" s="14" t="s">
        <v>109</v>
      </c>
      <c r="P7" s="14" t="s">
        <v>110</v>
      </c>
      <c r="Q7" s="14" t="n">
        <v>3</v>
      </c>
      <c r="R7" s="15" t="n">
        <f aca="false">EDATE(P7,Q7)</f>
        <v>46127</v>
      </c>
      <c r="S7" s="16" t="n">
        <f aca="true">R7-TODAY()</f>
        <v>-79</v>
      </c>
      <c r="T7" s="17" t="str">
        <f aca="false">IF(S7&lt;0,"OVERDUE",IF(S7&lt;=30,"DUE SOON","OK"))</f>
        <v>OVERDUE</v>
      </c>
      <c r="U7" s="14" t="s">
        <v>55</v>
      </c>
      <c r="V7" s="13" t="n">
        <f aca="false">IF(H7="High",COUNTIF($H$2:H7,"High"),"")</f>
        <v>4</v>
      </c>
    </row>
  </sheetData>
  <autoFilter ref="A1:U7"/>
  <conditionalFormatting sqref="T2:T500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  <cfRule type="cellIs" priority="4" operator="equal" aboveAverage="0" equalAverage="0" bottom="0" percent="0" rank="0" text="" dxfId="9">
      <formula>"OK"</formula>
    </cfRule>
  </conditionalFormatting>
  <conditionalFormatting sqref="H2:H500">
    <cfRule type="cellIs" priority="5" operator="equal" aboveAverage="0" equalAverage="0" bottom="0" percent="0" rank="0" text="" dxfId="7">
      <formula>"High"</formula>
    </cfRule>
    <cfRule type="cellIs" priority="6" operator="equal" aboveAverage="0" equalAverage="0" bottom="0" percent="0" rank="0" text="" dxfId="8">
      <formula>"Limited"</formula>
    </cfRule>
    <cfRule type="cellIs" priority="7" operator="equal" aboveAverage="0" equalAverage="0" bottom="0" percent="0" rank="0" text="" dxfId="9">
      <formula>"Minimal"</formula>
    </cfRule>
  </conditionalFormatting>
  <dataValidations count="3">
    <dataValidation allowBlank="true" errorStyle="stop" operator="between" showDropDown="false" showErrorMessage="false" showInputMessage="false" sqref="G2:G500 K2:L500" type="list">
      <formula1>"Y,N"</formula1>
      <formula2>0</formula2>
    </dataValidation>
    <dataValidation allowBlank="true" errorStyle="stop" operator="between" showDropDown="false" showErrorMessage="false" showInputMessage="false" sqref="H2:H500" type="list">
      <formula1>"Unacceptable,High,Limited,Minimal"</formula1>
      <formula2>0</formula2>
    </dataValidation>
    <dataValidation allowBlank="true" errorStyle="stop" operator="between" showDropDown="false" showErrorMessage="false" showInputMessage="false" sqref="U2:U500" type="list">
      <formula1>"Active,Paused,Retired,Under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26"/>
  </cols>
  <sheetData>
    <row r="1" customFormat="false" ht="16.15" hidden="false" customHeight="false" outlineLevel="0" collapsed="false">
      <c r="A1" s="18" t="s">
        <v>111</v>
      </c>
    </row>
    <row r="2" customFormat="false" ht="15" hidden="false" customHeight="false" outlineLevel="0" collapsed="false">
      <c r="A2" s="19" t="s">
        <v>112</v>
      </c>
    </row>
    <row r="4" customFormat="false" ht="30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37</v>
      </c>
      <c r="E4" s="7" t="s">
        <v>39</v>
      </c>
      <c r="F4" s="7" t="s">
        <v>113</v>
      </c>
      <c r="G4" s="7" t="s">
        <v>114</v>
      </c>
      <c r="H4" s="7" t="s">
        <v>115</v>
      </c>
      <c r="I4" s="7" t="s">
        <v>116</v>
      </c>
    </row>
    <row r="5" customFormat="false" ht="23.85" hidden="false" customHeight="false" outlineLevel="0" collapsed="false">
      <c r="A5" s="14" t="str">
        <f aca="false">IFERROR(INDEX('System Register'!$A$2:$A$500,MATCH(1,'System Register'!$V$2:$V$500,0)),"")</f>
        <v>ORG-AI-001</v>
      </c>
      <c r="B5" s="14" t="str">
        <f aca="false">IFERROR(VLOOKUP(A5,'System Register'!$A:$U,2,FALSE()),"")</f>
        <v>Credit Risk Scoring Model</v>
      </c>
      <c r="C5" s="14" t="str">
        <f aca="false">IFERROR(VLOOKUP(A5,'System Register'!$A:$U,3,FALSE()),"")</f>
        <v>Head of Consumer Lending</v>
      </c>
      <c r="D5" s="20" t="n">
        <f aca="false">IFERROR(VLOOKUP(A5,'System Register'!$A:$U,18,FALSE()),"")</f>
        <v>46204</v>
      </c>
      <c r="E5" s="14" t="str">
        <f aca="false">IFERROR(VLOOKUP(A5,'System Register'!$A:$U,20,FALSE()),"")</f>
        <v>OVERDUE</v>
      </c>
      <c r="F5" s="14" t="s">
        <v>48</v>
      </c>
      <c r="G5" s="14" t="s">
        <v>117</v>
      </c>
      <c r="H5" s="14" t="s">
        <v>48</v>
      </c>
      <c r="I5" s="14"/>
    </row>
    <row r="6" customFormat="false" ht="23.85" hidden="false" customHeight="false" outlineLevel="0" collapsed="false">
      <c r="A6" s="9" t="str">
        <f aca="false">IFERROR(INDEX('System Register'!$A$2:$A$500,MATCH(2,'System Register'!$V$2:$V$500,0)),"")</f>
        <v>ORG-AI-003</v>
      </c>
      <c r="B6" s="9" t="str">
        <f aca="false">IFERROR(VLOOKUP(A6,'System Register'!$A:$U,2,FALSE()),"")</f>
        <v>AML Transaction Monitoring System</v>
      </c>
      <c r="C6" s="9" t="str">
        <f aca="false">IFERROR(VLOOKUP(A6,'System Register'!$A:$U,3,FALSE()),"")</f>
        <v>Head of Financial Crime</v>
      </c>
      <c r="D6" s="21" t="n">
        <f aca="false">IFERROR(VLOOKUP(A6,'System Register'!$A:$U,18,FALSE()),"")</f>
        <v>46235</v>
      </c>
      <c r="E6" s="9" t="str">
        <f aca="false">IFERROR(VLOOKUP(A6,'System Register'!$A:$U,20,FALSE()),"")</f>
        <v>DUE SOON</v>
      </c>
      <c r="F6" s="9" t="s">
        <v>48</v>
      </c>
      <c r="G6" s="9" t="s">
        <v>117</v>
      </c>
      <c r="H6" s="9" t="s">
        <v>48</v>
      </c>
      <c r="I6" s="9"/>
    </row>
    <row r="7" customFormat="false" ht="23.85" hidden="false" customHeight="false" outlineLevel="0" collapsed="false">
      <c r="A7" s="14" t="str">
        <f aca="false">IFERROR(INDEX('System Register'!$A$2:$A$500,MATCH(3,'System Register'!$V$2:$V$500,0)),"")</f>
        <v>ORG-AI-005</v>
      </c>
      <c r="B7" s="14" t="str">
        <f aca="false">IFERROR(VLOOKUP(A7,'System Register'!$A:$U,2,FALSE()),"")</f>
        <v>Recruitment Screening Tool (TalentBridge Screener)</v>
      </c>
      <c r="C7" s="14" t="str">
        <f aca="false">IFERROR(VLOOKUP(A7,'System Register'!$A:$U,3,FALSE()),"")</f>
        <v>Head of Talent Acquisition</v>
      </c>
      <c r="D7" s="20" t="n">
        <f aca="false">IFERROR(VLOOKUP(A7,'System Register'!$A:$U,18,FALSE()),"")</f>
        <v>46174</v>
      </c>
      <c r="E7" s="14" t="str">
        <f aca="false">IFERROR(VLOOKUP(A7,'System Register'!$A:$U,20,FALSE()),"")</f>
        <v>OVERDUE</v>
      </c>
      <c r="F7" s="14" t="s">
        <v>48</v>
      </c>
      <c r="G7" s="14" t="s">
        <v>117</v>
      </c>
      <c r="H7" s="14" t="s">
        <v>48</v>
      </c>
      <c r="I7" s="14"/>
    </row>
    <row r="8" customFormat="false" ht="23.85" hidden="false" customHeight="false" outlineLevel="0" collapsed="false">
      <c r="A8" s="9" t="str">
        <f aca="false">IFERROR(INDEX('System Register'!$A$2:$A$500,MATCH(4,'System Register'!$V$2:$V$500,0)),"")</f>
        <v>ORG-AI-006</v>
      </c>
      <c r="B8" s="9" t="str">
        <f aca="false">IFERROR(VLOOKUP(A8,'System Register'!$A:$U,2,FALSE()),"")</f>
        <v>Voice Biometric Authentication System</v>
      </c>
      <c r="C8" s="9" t="str">
        <f aca="false">IFERROR(VLOOKUP(A8,'System Register'!$A:$U,3,FALSE()),"")</f>
        <v>Head of Digital Channels</v>
      </c>
      <c r="D8" s="21" t="n">
        <f aca="false">IFERROR(VLOOKUP(A8,'System Register'!$A:$U,18,FALSE()),"")</f>
        <v>46127</v>
      </c>
      <c r="E8" s="9" t="str">
        <f aca="false">IFERROR(VLOOKUP(A8,'System Register'!$A:$U,20,FALSE()),"")</f>
        <v>OVERDUE</v>
      </c>
      <c r="F8" s="9" t="s">
        <v>48</v>
      </c>
      <c r="G8" s="9" t="s">
        <v>117</v>
      </c>
      <c r="H8" s="9" t="s">
        <v>48</v>
      </c>
      <c r="I8" s="9"/>
    </row>
    <row r="9" customFormat="false" ht="15" hidden="false" customHeight="false" outlineLevel="0" collapsed="false">
      <c r="A9" s="14" t="str">
        <f aca="false">IFERROR(INDEX('System Register'!$A$2:$A$500,MATCH(5,'System Register'!$V$2:$V$500,0)),"")</f>
        <v/>
      </c>
      <c r="B9" s="14" t="str">
        <f aca="false">IFERROR(VLOOKUP(A9,'System Register'!$A:$U,2,FALSE()),"")</f>
        <v/>
      </c>
      <c r="C9" s="14" t="str">
        <f aca="false">IFERROR(VLOOKUP(A9,'System Register'!$A:$U,3,FALSE()),"")</f>
        <v/>
      </c>
      <c r="D9" s="20" t="str">
        <f aca="false">IFERROR(VLOOKUP(A9,'System Register'!$A:$U,18,FALSE()),"")</f>
        <v/>
      </c>
      <c r="E9" s="14" t="str">
        <f aca="false">IFERROR(VLOOKUP(A9,'System Register'!$A:$U,20,FALSE()),"")</f>
        <v/>
      </c>
      <c r="F9" s="14" t="s">
        <v>48</v>
      </c>
      <c r="G9" s="14" t="s">
        <v>117</v>
      </c>
      <c r="H9" s="14" t="s">
        <v>48</v>
      </c>
      <c r="I9" s="14"/>
    </row>
    <row r="10" customFormat="false" ht="15" hidden="false" customHeight="false" outlineLevel="0" collapsed="false">
      <c r="A10" s="9" t="str">
        <f aca="false">IFERROR(INDEX('System Register'!$A$2:$A$500,MATCH(6,'System Register'!$V$2:$V$500,0)),"")</f>
        <v/>
      </c>
      <c r="B10" s="9" t="str">
        <f aca="false">IFERROR(VLOOKUP(A10,'System Register'!$A:$U,2,FALSE()),"")</f>
        <v/>
      </c>
      <c r="C10" s="9" t="str">
        <f aca="false">IFERROR(VLOOKUP(A10,'System Register'!$A:$U,3,FALSE()),"")</f>
        <v/>
      </c>
      <c r="D10" s="21" t="str">
        <f aca="false">IFERROR(VLOOKUP(A10,'System Register'!$A:$U,18,FALSE()),"")</f>
        <v/>
      </c>
      <c r="E10" s="9" t="str">
        <f aca="false">IFERROR(VLOOKUP(A10,'System Register'!$A:$U,20,FALSE()),"")</f>
        <v/>
      </c>
      <c r="F10" s="9" t="s">
        <v>48</v>
      </c>
      <c r="G10" s="9" t="s">
        <v>117</v>
      </c>
      <c r="H10" s="9" t="s">
        <v>48</v>
      </c>
      <c r="I10" s="9"/>
    </row>
  </sheetData>
  <conditionalFormatting sqref="E5:E10">
    <cfRule type="cellIs" priority="2" operator="equal" aboveAverage="0" equalAverage="0" bottom="0" percent="0" rank="0" text="" dxfId="7">
      <formula>"OVERDUE"</formula>
    </cfRule>
    <cfRule type="cellIs" priority="3" operator="equal" aboveAverage="0" equalAverage="0" bottom="0" percent="0" rank="0" text="" dxfId="8">
      <formula>"DUE SOON"</formula>
    </cfRule>
    <cfRule type="cellIs" priority="4" operator="equal" aboveAverage="0" equalAverage="0" bottom="0" percent="0" rank="0" text="" dxfId="9">
      <formula>"OK"</formula>
    </cfRule>
  </conditionalFormatting>
  <dataValidations count="1">
    <dataValidation allowBlank="true" errorStyle="stop" operator="between" showDropDown="false" showErrorMessage="false" showInputMessage="false" sqref="F5:F10 H5:H1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10" min="8" style="0" width="16"/>
    <col collapsed="false" customWidth="true" hidden="false" outlineLevel="0" max="11" min="11" style="0" width="24"/>
  </cols>
  <sheetData>
    <row r="1" customFormat="false" ht="30" hidden="false" customHeight="true" outlineLevel="0" collapsed="false">
      <c r="A1" s="7" t="s">
        <v>118</v>
      </c>
      <c r="B1" s="7" t="s">
        <v>119</v>
      </c>
      <c r="C1" s="7" t="s">
        <v>120</v>
      </c>
      <c r="D1" s="7" t="s">
        <v>121</v>
      </c>
      <c r="E1" s="7" t="s">
        <v>122</v>
      </c>
      <c r="F1" s="7" t="s">
        <v>123</v>
      </c>
      <c r="G1" s="7" t="s">
        <v>124</v>
      </c>
      <c r="H1" s="7" t="s">
        <v>125</v>
      </c>
      <c r="I1" s="7" t="s">
        <v>126</v>
      </c>
      <c r="J1" s="7" t="s">
        <v>127</v>
      </c>
      <c r="K1" s="7" t="s">
        <v>116</v>
      </c>
    </row>
    <row r="2" customFormat="false" ht="23.85" hidden="false" customHeight="false" outlineLevel="0" collapsed="false">
      <c r="A2" s="9" t="s">
        <v>61</v>
      </c>
      <c r="B2" s="9" t="s">
        <v>128</v>
      </c>
      <c r="C2" s="9" t="s">
        <v>129</v>
      </c>
      <c r="D2" s="9" t="s">
        <v>130</v>
      </c>
      <c r="E2" s="9" t="n">
        <f aca="false">COUNTIF('System Register'!F:F,"Vendor A")</f>
        <v>2</v>
      </c>
      <c r="F2" s="9" t="s">
        <v>51</v>
      </c>
      <c r="G2" s="9" t="s">
        <v>131</v>
      </c>
      <c r="H2" s="9" t="s">
        <v>48</v>
      </c>
      <c r="I2" s="9" t="s">
        <v>48</v>
      </c>
      <c r="J2" s="9" t="n">
        <v>24</v>
      </c>
      <c r="K2" s="9" t="s">
        <v>132</v>
      </c>
    </row>
    <row r="3" customFormat="false" ht="35.05" hidden="false" customHeight="false" outlineLevel="0" collapsed="false">
      <c r="A3" s="14" t="s">
        <v>84</v>
      </c>
      <c r="B3" s="14" t="s">
        <v>133</v>
      </c>
      <c r="C3" s="14" t="s">
        <v>134</v>
      </c>
      <c r="D3" s="14" t="s">
        <v>135</v>
      </c>
      <c r="E3" s="14" t="n">
        <f aca="false">COUNTIF('System Register'!F:F,"Vendor B")</f>
        <v>1</v>
      </c>
      <c r="F3" s="14" t="s">
        <v>51</v>
      </c>
      <c r="G3" s="14" t="s">
        <v>136</v>
      </c>
      <c r="H3" s="14" t="s">
        <v>48</v>
      </c>
      <c r="I3" s="14" t="s">
        <v>62</v>
      </c>
      <c r="J3" s="14" t="n">
        <v>48</v>
      </c>
      <c r="K3" s="14" t="s">
        <v>137</v>
      </c>
    </row>
    <row r="4" customFormat="false" ht="35.05" hidden="false" customHeight="false" outlineLevel="0" collapsed="false">
      <c r="A4" s="9" t="s">
        <v>94</v>
      </c>
      <c r="B4" s="9" t="s">
        <v>138</v>
      </c>
      <c r="C4" s="9" t="s">
        <v>99</v>
      </c>
      <c r="D4" s="9" t="s">
        <v>139</v>
      </c>
      <c r="E4" s="9" t="n">
        <f aca="false">COUNTIF('System Register'!F:F,"Vendor C")</f>
        <v>1</v>
      </c>
      <c r="F4" s="9" t="s">
        <v>97</v>
      </c>
      <c r="G4" s="9" t="s">
        <v>99</v>
      </c>
      <c r="H4" s="9" t="s">
        <v>62</v>
      </c>
      <c r="I4" s="9" t="s">
        <v>48</v>
      </c>
      <c r="J4" s="9" t="n">
        <v>24</v>
      </c>
      <c r="K4" s="9" t="s">
        <v>140</v>
      </c>
    </row>
  </sheetData>
  <dataValidations count="2">
    <dataValidation allowBlank="true" errorStyle="stop" operator="between" showDropDown="false" showErrorMessage="false" showInputMessage="false" sqref="F2:F100" type="list">
      <formula1>"Complete,In Progress,Not Started,Overdue"</formula1>
      <formula2>0</formula2>
    </dataValidation>
    <dataValidation allowBlank="true" errorStyle="stop" operator="between" showDropDown="false" showErrorMessage="false" showInputMessage="false" sqref="H2:I1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8" min="6" style="0" width="16"/>
    <col collapsed="false" customWidth="true" hidden="false" outlineLevel="0" max="9" min="9" style="0" width="20"/>
    <col collapsed="false" customWidth="true" hidden="false" outlineLevel="0" max="10" min="10" style="0" width="24"/>
  </cols>
  <sheetData>
    <row r="1" customFormat="false" ht="30" hidden="false" customHeight="true" outlineLevel="0" collapsed="false">
      <c r="A1" s="7" t="s">
        <v>20</v>
      </c>
      <c r="B1" s="7" t="s">
        <v>21</v>
      </c>
      <c r="C1" s="7" t="s">
        <v>141</v>
      </c>
      <c r="D1" s="7" t="s">
        <v>142</v>
      </c>
      <c r="E1" s="7" t="s">
        <v>32</v>
      </c>
      <c r="F1" s="7" t="s">
        <v>143</v>
      </c>
      <c r="G1" s="7" t="s">
        <v>144</v>
      </c>
      <c r="H1" s="7" t="s">
        <v>145</v>
      </c>
      <c r="I1" s="7" t="s">
        <v>146</v>
      </c>
      <c r="J1" s="7" t="s">
        <v>116</v>
      </c>
    </row>
    <row r="2" customFormat="false" ht="23.85" hidden="false" customHeight="false" outlineLevel="0" collapsed="false">
      <c r="A2" s="14" t="str">
        <f aca="false">IFERROR(INDEX('System Register'!$A$2:$A$500,1),"")</f>
        <v>ORG-AI-001</v>
      </c>
      <c r="B2" s="14" t="str">
        <f aca="false">IFERROR(VLOOKUP(A2,'System Register'!$A:$U,2,FALSE()),"")</f>
        <v>Credit Risk Scoring Model</v>
      </c>
      <c r="C2" s="14" t="str">
        <f aca="false">IFERROR(VLOOKUP(A2,'System Register'!$A:$U,10,FALSE()),"")</f>
        <v>Financial/credit data</v>
      </c>
      <c r="D2" s="14" t="s">
        <v>147</v>
      </c>
      <c r="E2" s="14" t="str">
        <f aca="false">IFERROR(VLOOKUP(A2,'System Register'!$A:$U,13,FALSE()),"")</f>
        <v>Complete</v>
      </c>
      <c r="F2" s="14"/>
      <c r="G2" s="14" t="str">
        <f aca="false">IFERROR(VLOOKUP(A2,'System Register'!$A:$U,14,FALSE()),"")</f>
        <v>7 years post-decision</v>
      </c>
      <c r="H2" s="14" t="s">
        <v>62</v>
      </c>
      <c r="I2" s="14" t="s">
        <v>48</v>
      </c>
      <c r="J2" s="14"/>
    </row>
    <row r="3" customFormat="false" ht="23.85" hidden="false" customHeight="false" outlineLevel="0" collapsed="false">
      <c r="A3" s="9" t="str">
        <f aca="false">IFERROR(INDEX('System Register'!$A$2:$A$500,2),"")</f>
        <v>ORG-AI-002</v>
      </c>
      <c r="B3" s="9" t="str">
        <f aca="false">IFERROR(VLOOKUP(A3,'System Register'!$A:$U,2,FALSE()),"")</f>
        <v>Customer Service Chatbot</v>
      </c>
      <c r="C3" s="9" t="str">
        <f aca="false">IFERROR(VLOOKUP(A3,'System Register'!$A:$U,10,FALSE()),"")</f>
        <v>Contact/interaction data</v>
      </c>
      <c r="D3" s="9" t="s">
        <v>147</v>
      </c>
      <c r="E3" s="9" t="str">
        <f aca="false">IFERROR(VLOOKUP(A3,'System Register'!$A:$U,13,FALSE()),"")</f>
        <v>N/A</v>
      </c>
      <c r="F3" s="9"/>
      <c r="G3" s="9" t="str">
        <f aca="false">IFERROR(VLOOKUP(A3,'System Register'!$A:$U,14,FALSE()),"")</f>
        <v>2 years</v>
      </c>
      <c r="H3" s="9" t="s">
        <v>62</v>
      </c>
      <c r="I3" s="9" t="s">
        <v>48</v>
      </c>
      <c r="J3" s="9"/>
    </row>
    <row r="4" customFormat="false" ht="23.85" hidden="false" customHeight="false" outlineLevel="0" collapsed="false">
      <c r="A4" s="14" t="str">
        <f aca="false">IFERROR(INDEX('System Register'!$A$2:$A$500,3),"")</f>
        <v>ORG-AI-003</v>
      </c>
      <c r="B4" s="14" t="str">
        <f aca="false">IFERROR(VLOOKUP(A4,'System Register'!$A:$U,2,FALSE()),"")</f>
        <v>AML Transaction Monitoring System</v>
      </c>
      <c r="C4" s="14" t="str">
        <f aca="false">IFERROR(VLOOKUP(A4,'System Register'!$A:$U,10,FALSE()),"")</f>
        <v>Transaction/financial data</v>
      </c>
      <c r="D4" s="14" t="s">
        <v>147</v>
      </c>
      <c r="E4" s="14" t="str">
        <f aca="false">IFERROR(VLOOKUP(A4,'System Register'!$A:$U,13,FALSE()),"")</f>
        <v>Complete</v>
      </c>
      <c r="F4" s="14"/>
      <c r="G4" s="14" t="str">
        <f aca="false">IFERROR(VLOOKUP(A4,'System Register'!$A:$U,14,FALSE()),"")</f>
        <v>5 years</v>
      </c>
      <c r="H4" s="14" t="s">
        <v>62</v>
      </c>
      <c r="I4" s="14" t="s">
        <v>48</v>
      </c>
      <c r="J4" s="14"/>
    </row>
    <row r="5" customFormat="false" ht="23.85" hidden="false" customHeight="false" outlineLevel="0" collapsed="false">
      <c r="A5" s="9" t="str">
        <f aca="false">IFERROR(INDEX('System Register'!$A$2:$A$500,4),"")</f>
        <v>ORG-AI-004</v>
      </c>
      <c r="B5" s="9" t="str">
        <f aca="false">IFERROR(VLOOKUP(A5,'System Register'!$A:$U,2,FALSE()),"")</f>
        <v>Internal Meeting Summariser</v>
      </c>
      <c r="C5" s="9" t="str">
        <f aca="false">IFERROR(VLOOKUP(A5,'System Register'!$A:$U,10,FALSE()),"")</f>
        <v>Meeting audio/text</v>
      </c>
      <c r="D5" s="9" t="s">
        <v>147</v>
      </c>
      <c r="E5" s="9" t="str">
        <f aca="false">IFERROR(VLOOKUP(A5,'System Register'!$A:$U,13,FALSE()),"")</f>
        <v>N/A</v>
      </c>
      <c r="F5" s="9"/>
      <c r="G5" s="9" t="str">
        <f aca="false">IFERROR(VLOOKUP(A5,'System Register'!$A:$U,14,FALSE()),"")</f>
        <v>90 days</v>
      </c>
      <c r="H5" s="9" t="s">
        <v>62</v>
      </c>
      <c r="I5" s="9" t="s">
        <v>48</v>
      </c>
      <c r="J5" s="9"/>
    </row>
    <row r="6" customFormat="false" ht="23.85" hidden="false" customHeight="false" outlineLevel="0" collapsed="false">
      <c r="A6" s="14" t="str">
        <f aca="false">IFERROR(INDEX('System Register'!$A$2:$A$500,5),"")</f>
        <v>ORG-AI-005</v>
      </c>
      <c r="B6" s="14" t="str">
        <f aca="false">IFERROR(VLOOKUP(A6,'System Register'!$A:$U,2,FALSE()),"")</f>
        <v>Recruitment Screening Tool (TalentBridge Screener)</v>
      </c>
      <c r="C6" s="14" t="str">
        <f aca="false">IFERROR(VLOOKUP(A6,'System Register'!$A:$U,10,FALSE()),"")</f>
        <v>Candidate/employment data</v>
      </c>
      <c r="D6" s="14" t="s">
        <v>147</v>
      </c>
      <c r="E6" s="14" t="str">
        <f aca="false">IFERROR(VLOOKUP(A6,'System Register'!$A:$U,13,FALSE()),"")</f>
        <v>In Progress — due 2026-08-01</v>
      </c>
      <c r="F6" s="14"/>
      <c r="G6" s="14" t="str">
        <f aca="false">IFERROR(VLOOKUP(A6,'System Register'!$A:$U,14,FALSE()),"")</f>
        <v>3 years post-decision</v>
      </c>
      <c r="H6" s="14" t="s">
        <v>62</v>
      </c>
      <c r="I6" s="14" t="s">
        <v>48</v>
      </c>
      <c r="J6" s="14"/>
    </row>
    <row r="7" customFormat="false" ht="23.85" hidden="false" customHeight="false" outlineLevel="0" collapsed="false">
      <c r="A7" s="9" t="str">
        <f aca="false">IFERROR(INDEX('System Register'!$A$2:$A$500,6),"")</f>
        <v>ORG-AI-006</v>
      </c>
      <c r="B7" s="9" t="str">
        <f aca="false">IFERROR(VLOOKUP(A7,'System Register'!$A:$U,2,FALSE()),"")</f>
        <v>Voice Biometric Authentication System</v>
      </c>
      <c r="C7" s="9" t="str">
        <f aca="false">IFERROR(VLOOKUP(A7,'System Register'!$A:$U,10,FALSE()),"")</f>
        <v>Biometric voice data</v>
      </c>
      <c r="D7" s="9" t="s">
        <v>147</v>
      </c>
      <c r="E7" s="9" t="str">
        <f aca="false">IFERROR(VLOOKUP(A7,'System Register'!$A:$U,13,FALSE()),"")</f>
        <v>Complete</v>
      </c>
      <c r="F7" s="9"/>
      <c r="G7" s="9" t="str">
        <f aca="false">IFERROR(VLOOKUP(A7,'System Register'!$A:$U,14,FALSE()),"")</f>
        <v>Duration of account + 1 year</v>
      </c>
      <c r="H7" s="9" t="s">
        <v>62</v>
      </c>
      <c r="I7" s="9" t="s">
        <v>48</v>
      </c>
      <c r="J7" s="9"/>
    </row>
  </sheetData>
  <dataValidations count="1">
    <dataValidation allowBlank="true" errorStyle="stop" operator="between" showDropDown="false" showErrorMessage="false" showInputMessage="false" sqref="H2:I1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148</v>
      </c>
    </row>
    <row r="2" customFormat="false" ht="15" hidden="false" customHeight="false" outlineLevel="0" collapsed="false">
      <c r="A2" s="2" t="str">
        <f aca="true">"Generated: "&amp;TEXT(TODAY(),"yyyy-mm-dd")</f>
        <v>Generated: 2026-07-03</v>
      </c>
    </row>
    <row r="3" customFormat="false" ht="15" hidden="false" customHeight="false" outlineLevel="0" collapsed="false">
      <c r="A3" s="0" t="s">
        <v>149</v>
      </c>
    </row>
    <row r="5" customFormat="false" ht="15" hidden="false" customHeight="false" outlineLevel="0" collapsed="false">
      <c r="A5" s="22" t="s">
        <v>150</v>
      </c>
    </row>
    <row r="6" customFormat="false" ht="15" hidden="false" customHeight="false" outlineLevel="0" collapsed="false">
      <c r="A6" s="23" t="s">
        <v>151</v>
      </c>
      <c r="B6" s="4" t="n">
        <f aca="false">Dashboard!B5</f>
        <v>6</v>
      </c>
    </row>
    <row r="7" customFormat="false" ht="15" hidden="false" customHeight="false" outlineLevel="0" collapsed="false">
      <c r="A7" s="23" t="s">
        <v>8</v>
      </c>
      <c r="B7" s="4" t="n">
        <f aca="false">Dashboard!B6</f>
        <v>4</v>
      </c>
    </row>
    <row r="8" customFormat="false" ht="15" hidden="false" customHeight="false" outlineLevel="0" collapsed="false">
      <c r="A8" s="23" t="s">
        <v>17</v>
      </c>
      <c r="B8" s="4" t="n">
        <f aca="false">Dashboard!B12</f>
        <v>3</v>
      </c>
    </row>
    <row r="9" customFormat="false" ht="15" hidden="false" customHeight="false" outlineLevel="0" collapsed="false">
      <c r="A9" s="23" t="s">
        <v>152</v>
      </c>
      <c r="B9" s="4" t="n">
        <f aca="false">Dashboard!B10-Dashboard!B11</f>
        <v>1</v>
      </c>
    </row>
    <row r="11" customFormat="false" ht="15" hidden="false" customHeight="false" outlineLevel="0" collapsed="false">
      <c r="A11" s="22" t="s">
        <v>153</v>
      </c>
    </row>
    <row r="12" customFormat="false" ht="30" hidden="false" customHeight="true" outlineLevel="0" collapsed="false">
      <c r="A12" s="7" t="s">
        <v>20</v>
      </c>
      <c r="B12" s="7" t="s">
        <v>21</v>
      </c>
      <c r="C12" s="7" t="s">
        <v>4</v>
      </c>
      <c r="D12" s="7" t="s">
        <v>22</v>
      </c>
      <c r="E12" s="7" t="s">
        <v>39</v>
      </c>
    </row>
    <row r="13" customFormat="false" ht="15" hidden="false" customHeight="false" outlineLevel="0" collapsed="false">
      <c r="A13" s="24" t="str">
        <f aca="false">IFERROR(INDEX('System Register'!$A$2:$A$500,1),"")</f>
        <v>ORG-AI-001</v>
      </c>
      <c r="B13" s="24" t="str">
        <f aca="false">IFERROR(VLOOKUP(A13,'System Register'!$A:$U,2,FALSE()),"")</f>
        <v>Credit Risk Scoring Model</v>
      </c>
      <c r="C13" s="24" t="str">
        <f aca="false">IFERROR(VLOOKUP(A13,'System Register'!$A:$U,8,FALSE()),"")</f>
        <v>High</v>
      </c>
      <c r="D13" s="24" t="str">
        <f aca="false">IFERROR(VLOOKUP(A13,'System Register'!$A:$U,3,FALSE()),"")</f>
        <v>Head of Consumer Lending</v>
      </c>
      <c r="E13" s="24" t="str">
        <f aca="false">IFERROR(VLOOKUP(A13,'System Register'!$A:$U,20,FALSE()),"")</f>
        <v>OVERDUE</v>
      </c>
    </row>
    <row r="14" customFormat="false" ht="15" hidden="false" customHeight="false" outlineLevel="0" collapsed="false">
      <c r="A14" s="25" t="str">
        <f aca="false">IFERROR(INDEX('System Register'!$A$2:$A$500,2),"")</f>
        <v>ORG-AI-002</v>
      </c>
      <c r="B14" s="25" t="str">
        <f aca="false">IFERROR(VLOOKUP(A14,'System Register'!$A:$U,2,FALSE()),"")</f>
        <v>Customer Service Chatbot</v>
      </c>
      <c r="C14" s="25" t="str">
        <f aca="false">IFERROR(VLOOKUP(A14,'System Register'!$A:$U,8,FALSE()),"")</f>
        <v>Limited</v>
      </c>
      <c r="D14" s="25" t="str">
        <f aca="false">IFERROR(VLOOKUP(A14,'System Register'!$A:$U,3,FALSE()),"")</f>
        <v>Head of Customer Experience</v>
      </c>
      <c r="E14" s="25" t="str">
        <f aca="false">IFERROR(VLOOKUP(A14,'System Register'!$A:$U,20,FALSE()),"")</f>
        <v>OK</v>
      </c>
    </row>
    <row r="15" customFormat="false" ht="15" hidden="false" customHeight="false" outlineLevel="0" collapsed="false">
      <c r="A15" s="24" t="str">
        <f aca="false">IFERROR(INDEX('System Register'!$A$2:$A$500,3),"")</f>
        <v>ORG-AI-003</v>
      </c>
      <c r="B15" s="24" t="str">
        <f aca="false">IFERROR(VLOOKUP(A15,'System Register'!$A:$U,2,FALSE()),"")</f>
        <v>AML Transaction Monitoring System</v>
      </c>
      <c r="C15" s="24" t="str">
        <f aca="false">IFERROR(VLOOKUP(A15,'System Register'!$A:$U,8,FALSE()),"")</f>
        <v>High</v>
      </c>
      <c r="D15" s="24" t="str">
        <f aca="false">IFERROR(VLOOKUP(A15,'System Register'!$A:$U,3,FALSE()),"")</f>
        <v>Head of Financial Crime</v>
      </c>
      <c r="E15" s="24" t="str">
        <f aca="false">IFERROR(VLOOKUP(A15,'System Register'!$A:$U,20,FALSE()),"")</f>
        <v>DUE SOON</v>
      </c>
    </row>
    <row r="16" customFormat="false" ht="15" hidden="false" customHeight="false" outlineLevel="0" collapsed="false">
      <c r="A16" s="25" t="str">
        <f aca="false">IFERROR(INDEX('System Register'!$A$2:$A$500,4),"")</f>
        <v>ORG-AI-004</v>
      </c>
      <c r="B16" s="25" t="str">
        <f aca="false">IFERROR(VLOOKUP(A16,'System Register'!$A:$U,2,FALSE()),"")</f>
        <v>Internal Meeting Summariser</v>
      </c>
      <c r="C16" s="25" t="str">
        <f aca="false">IFERROR(VLOOKUP(A16,'System Register'!$A:$U,8,FALSE()),"")</f>
        <v>Minimal</v>
      </c>
      <c r="D16" s="25" t="str">
        <f aca="false">IFERROR(VLOOKUP(A16,'System Register'!$A:$U,3,FALSE()),"")</f>
        <v>IT Productivity Lead</v>
      </c>
      <c r="E16" s="25" t="str">
        <f aca="false">IFERROR(VLOOKUP(A16,'System Register'!$A:$U,20,FALSE()),"")</f>
        <v>OK</v>
      </c>
    </row>
    <row r="17" customFormat="false" ht="15" hidden="false" customHeight="false" outlineLevel="0" collapsed="false">
      <c r="A17" s="24" t="str">
        <f aca="false">IFERROR(INDEX('System Register'!$A$2:$A$500,5),"")</f>
        <v>ORG-AI-005</v>
      </c>
      <c r="B17" s="24" t="str">
        <f aca="false">IFERROR(VLOOKUP(A17,'System Register'!$A:$U,2,FALSE()),"")</f>
        <v>Recruitment Screening Tool (TalentBridge Screener)</v>
      </c>
      <c r="C17" s="24" t="str">
        <f aca="false">IFERROR(VLOOKUP(A17,'System Register'!$A:$U,8,FALSE()),"")</f>
        <v>High</v>
      </c>
      <c r="D17" s="24" t="str">
        <f aca="false">IFERROR(VLOOKUP(A17,'System Register'!$A:$U,3,FALSE()),"")</f>
        <v>Head of Talent Acquisition</v>
      </c>
      <c r="E17" s="24" t="str">
        <f aca="false">IFERROR(VLOOKUP(A17,'System Register'!$A:$U,20,FALSE()),"")</f>
        <v>OVERDUE</v>
      </c>
    </row>
    <row r="18" customFormat="false" ht="15" hidden="false" customHeight="false" outlineLevel="0" collapsed="false">
      <c r="A18" s="25" t="str">
        <f aca="false">IFERROR(INDEX('System Register'!$A$2:$A$500,6),"")</f>
        <v>ORG-AI-006</v>
      </c>
      <c r="B18" s="25" t="str">
        <f aca="false">IFERROR(VLOOKUP(A18,'System Register'!$A:$U,2,FALSE()),"")</f>
        <v>Voice Biometric Authentication System</v>
      </c>
      <c r="C18" s="25" t="str">
        <f aca="false">IFERROR(VLOOKUP(A18,'System Register'!$A:$U,8,FALSE()),"")</f>
        <v>High</v>
      </c>
      <c r="D18" s="25" t="str">
        <f aca="false">IFERROR(VLOOKUP(A18,'System Register'!$A:$U,3,FALSE()),"")</f>
        <v>Head of Digital Channels</v>
      </c>
      <c r="E18" s="25" t="str">
        <f aca="false">IFERROR(VLOOKUP(A18,'System Register'!$A:$U,20,FALSE()),"")</f>
        <v>OVERDUE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2026-07-03T19:41:00Z</dcterms:created>
  <dc:creator>openpyxl</dc:creator>
  <dc:description/>
  <dc:language>en-US</dc:language>
  <cp:lastModifiedBy/>
  <dcterms:modified xsi:type="dcterms:W3CDTF">2026-07-03T19:41:02Z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