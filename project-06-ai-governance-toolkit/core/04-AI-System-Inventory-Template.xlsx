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System Inventory" sheetId="1" state="visible" r:id="rId3"/>
    <sheet name="Summary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<sst xmlns="http://schemas.openxmlformats.org/spreadsheetml/2006/main" count="106" uniqueCount="86">
  <si>
    <t xml:space="preserve">System ID</t>
  </si>
  <si>
    <t xml:space="preserve">System Name</t>
  </si>
  <si>
    <t xml:space="preserve">Business Owner</t>
  </si>
  <si>
    <t xml:space="preserve">Technical Owner</t>
  </si>
  <si>
    <t xml:space="preserve">Business Unit</t>
  </si>
  <si>
    <t xml:space="preserve">Vendor / In-house</t>
  </si>
  <si>
    <t xml:space="preserve">Purpose (1 line)</t>
  </si>
  <si>
    <t xml:space="preserve">Risk Tier</t>
  </si>
  <si>
    <t xml:space="preserve">Regulatory Trigger(s)</t>
  </si>
  <si>
    <t xml:space="preserve">Personal Data Processed?</t>
  </si>
  <si>
    <t xml:space="preserve">DPIA/FRIA Required?</t>
  </si>
  <si>
    <t xml:space="preserve">Human Oversight Point</t>
  </si>
  <si>
    <t xml:space="preserve">Deployment Date</t>
  </si>
  <si>
    <t xml:space="preserve">Last Review Date</t>
  </si>
  <si>
    <t xml:space="preserve">Next Review Due</t>
  </si>
  <si>
    <t xml:space="preserve">Status</t>
  </si>
  <si>
    <t xml:space="preserve">ORG-AI-001</t>
  </si>
  <si>
    <t xml:space="preserve">Credit Risk Scoring Model</t>
  </si>
  <si>
    <t xml:space="preserve">Head of Consumer Lending</t>
  </si>
  <si>
    <t xml:space="preserve">ML Engineering Lead</t>
  </si>
  <si>
    <t xml:space="preserve">Retail Banking</t>
  </si>
  <si>
    <t xml:space="preserve">In-house</t>
  </si>
  <si>
    <t xml:space="preserve">Scores consumer credit applications for approval likelihood</t>
  </si>
  <si>
    <t xml:space="preserve">High</t>
  </si>
  <si>
    <t xml:space="preserve">EU AI Act Annex III(5)(b); NIST RMF</t>
  </si>
  <si>
    <t xml:space="preserve">Yes</t>
  </si>
  <si>
    <t xml:space="preserve">Underwriter review before final decline</t>
  </si>
  <si>
    <t xml:space="preserve">2025-03-01</t>
  </si>
  <si>
    <t xml:space="preserve">2026-04-01</t>
  </si>
  <si>
    <t xml:space="preserve">2026-07-01</t>
  </si>
  <si>
    <t xml:space="preserve">Active</t>
  </si>
  <si>
    <t xml:space="preserve">ORG-AI-002</t>
  </si>
  <si>
    <t xml:space="preserve">Customer Service Chatbot</t>
  </si>
  <si>
    <t xml:space="preserve">Head of Customer Experience</t>
  </si>
  <si>
    <t xml:space="preserve">Platform Engineering Lead</t>
  </si>
  <si>
    <t xml:space="preserve">Customer Ops</t>
  </si>
  <si>
    <t xml:space="preserve">Vendor A</t>
  </si>
  <si>
    <t xml:space="preserve">Handles tier-1 customer service queries</t>
  </si>
  <si>
    <t xml:space="preserve">Limited</t>
  </si>
  <si>
    <t xml:space="preserve">EU AI Act Art. 50 transparency</t>
  </si>
  <si>
    <t xml:space="preserve">No</t>
  </si>
  <si>
    <t xml:space="preserve">Escalation to human agent on request</t>
  </si>
  <si>
    <t xml:space="preserve">2024-11-15</t>
  </si>
  <si>
    <t xml:space="preserve">2026-02-15</t>
  </si>
  <si>
    <t xml:space="preserve">2026-08-15</t>
  </si>
  <si>
    <t xml:space="preserve">ORG-AI-003</t>
  </si>
  <si>
    <t xml:space="preserve">AML Transaction Monitoring System</t>
  </si>
  <si>
    <t xml:space="preserve">Head of Financial Crime</t>
  </si>
  <si>
    <t xml:space="preserve">Data Science Lead</t>
  </si>
  <si>
    <t xml:space="preserve">Compliance</t>
  </si>
  <si>
    <t xml:space="preserve">Flags potentially suspicious transactions for investigation</t>
  </si>
  <si>
    <t xml:space="preserve">EU AI Act Annex III; AMLD</t>
  </si>
  <si>
    <t xml:space="preserve">Analyst review of all flagged alerts</t>
  </si>
  <si>
    <t xml:space="preserve">2023-06-01</t>
  </si>
  <si>
    <t xml:space="preserve">2026-05-01</t>
  </si>
  <si>
    <t xml:space="preserve">2026-08-01</t>
  </si>
  <si>
    <t xml:space="preserve">ORG-AI-004</t>
  </si>
  <si>
    <t xml:space="preserve">Internal Meeting Summariser</t>
  </si>
  <si>
    <t xml:space="preserve">IT Productivity Lead</t>
  </si>
  <si>
    <t xml:space="preserve">IT Platform Lead</t>
  </si>
  <si>
    <t xml:space="preserve">Corporate IT</t>
  </si>
  <si>
    <t xml:space="preserve">Vendor B</t>
  </si>
  <si>
    <t xml:space="preserve">Summarises internal meeting recordings for notes</t>
  </si>
  <si>
    <t xml:space="preserve">Minimal</t>
  </si>
  <si>
    <t xml:space="preserve">N/A</t>
  </si>
  <si>
    <t xml:space="preserve">2025-01-10</t>
  </si>
  <si>
    <t xml:space="preserve">2026-01-10</t>
  </si>
  <si>
    <t xml:space="preserve">2027-01-10</t>
  </si>
  <si>
    <t xml:space="preserve">ORG-AI-005</t>
  </si>
  <si>
    <t xml:space="preserve">Recruitment Screening Tool (TalentBridge Screener)</t>
  </si>
  <si>
    <t xml:space="preserve">Head of Talent Acquisition</t>
  </si>
  <si>
    <t xml:space="preserve">HR Systems Lead</t>
  </si>
  <si>
    <t xml:space="preserve">Human Resources</t>
  </si>
  <si>
    <t xml:space="preserve">Vendor C</t>
  </si>
  <si>
    <t xml:space="preserve">Screens and ranks job applicants against role criteria</t>
  </si>
  <si>
    <t xml:space="preserve">EU AI Act Annex III(4)(a)</t>
  </si>
  <si>
    <t xml:space="preserve">Recruiter reviews all shortlist/reject decisions</t>
  </si>
  <si>
    <t xml:space="preserve">2024-09-01</t>
  </si>
  <si>
    <t xml:space="preserve">2026-03-01</t>
  </si>
  <si>
    <t xml:space="preserve">2026-06-01</t>
  </si>
  <si>
    <t xml:space="preserve">AI System Inventory — Summary</t>
  </si>
  <si>
    <t xml:space="preserve">Count</t>
  </si>
  <si>
    <t xml:space="preserve">Unacceptable</t>
  </si>
  <si>
    <t xml:space="preserve">Total Systems</t>
  </si>
  <si>
    <t xml:space="preserve">Systems Requiring DPIA/FRIA</t>
  </si>
  <si>
    <t xml:space="preserve">Systems Due for Review (fill next review date manually to track)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</si>
</sst>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0"/>
    <col collapsed="false" customWidth="true" hidden="false" outlineLevel="0" max="9" min="9" style="0" width="24"/>
    <col collapsed="false" customWidth="true" hidden="false" outlineLevel="0" max="11" min="10" style="0" width="14"/>
    <col collapsed="false" customWidth="true" hidden="false" outlineLevel="0" max="12" min="12" style="0" width="26"/>
    <col collapsed="false" customWidth="true" hidden="false" outlineLevel="0" max="14" min="13" style="0" width="13"/>
    <col collapsed="false" customWidth="true" hidden="false" outlineLevel="0" max="15" min="15" style="0" width="14"/>
    <col collapsed="false" customWidth="true" hidden="false" outlineLevel="0" max="16" min="16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3.8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  <row r="3" customFormat="false" ht="23.85" hidden="false" customHeight="false" outlineLevel="0" collapsed="false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25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44</v>
      </c>
      <c r="P3" s="3" t="s">
        <v>30</v>
      </c>
    </row>
    <row r="4" customFormat="false" ht="23.85" hidden="false" customHeight="false" outlineLevel="0" collapsed="false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21</v>
      </c>
      <c r="G4" s="2" t="s">
        <v>50</v>
      </c>
      <c r="H4" s="2" t="s">
        <v>23</v>
      </c>
      <c r="I4" s="2" t="s">
        <v>51</v>
      </c>
      <c r="J4" s="2" t="s">
        <v>25</v>
      </c>
      <c r="K4" s="2" t="s">
        <v>25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30</v>
      </c>
    </row>
    <row r="5" customFormat="false" ht="23.85" hidden="false" customHeight="false" outlineLevel="0" collapsed="false">
      <c r="A5" s="3" t="s">
        <v>56</v>
      </c>
      <c r="B5" s="3" t="s">
        <v>57</v>
      </c>
      <c r="C5" s="3" t="s">
        <v>58</v>
      </c>
      <c r="D5" s="3" t="s">
        <v>59</v>
      </c>
      <c r="E5" s="3" t="s">
        <v>60</v>
      </c>
      <c r="F5" s="3" t="s">
        <v>61</v>
      </c>
      <c r="G5" s="3" t="s">
        <v>62</v>
      </c>
      <c r="H5" s="3" t="s">
        <v>63</v>
      </c>
      <c r="I5" s="3" t="s">
        <v>64</v>
      </c>
      <c r="J5" s="3" t="s">
        <v>40</v>
      </c>
      <c r="K5" s="3" t="s">
        <v>40</v>
      </c>
      <c r="L5" s="3" t="s">
        <v>64</v>
      </c>
      <c r="M5" s="3" t="s">
        <v>65</v>
      </c>
      <c r="N5" s="3" t="s">
        <v>66</v>
      </c>
      <c r="O5" s="3" t="s">
        <v>67</v>
      </c>
      <c r="P5" s="3" t="s">
        <v>30</v>
      </c>
    </row>
    <row r="6" customFormat="false" ht="23.85" hidden="false" customHeight="false" outlineLevel="0" collapsed="false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73</v>
      </c>
      <c r="G6" s="2" t="s">
        <v>74</v>
      </c>
      <c r="H6" s="2" t="s">
        <v>23</v>
      </c>
      <c r="I6" s="2" t="s">
        <v>75</v>
      </c>
      <c r="J6" s="2" t="s">
        <v>25</v>
      </c>
      <c r="K6" s="2" t="s">
        <v>25</v>
      </c>
      <c r="L6" s="2" t="s">
        <v>76</v>
      </c>
      <c r="M6" s="2" t="s">
        <v>77</v>
      </c>
      <c r="N6" s="2" t="s">
        <v>78</v>
      </c>
      <c r="O6" s="2" t="s">
        <v>79</v>
      </c>
      <c r="P6" s="2" t="s">
        <v>30</v>
      </c>
    </row>
  </sheetData>
  <dataValidations count="3">
    <dataValidation allowBlank="true" errorStyle="stop" operator="between" showDropDown="false" showErrorMessage="false" showInputMessage="false" sqref="H2:H500" type="list">
      <formula1>"Unacceptable,High,Limited,Minimal"</formula1>
      <formula2>0</formula2>
    </dataValidation>
    <dataValidation allowBlank="true" errorStyle="stop" operator="between" showDropDown="false" showErrorMessage="false" showInputMessage="false" sqref="J2:K500" type="list">
      <formula1>"Yes,No"</formula1>
      <formula2>0</formula2>
    </dataValidation>
    <dataValidation allowBlank="true" errorStyle="stop" operator="between" showDropDown="false" showErrorMessage="false" showInputMessage="false" sqref="P2:P500" type="list">
      <formula1>"Active,Paused,Retired,Under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4" t="s">
        <v>80</v>
      </c>
    </row>
    <row r="3" customFormat="false" ht="15" hidden="false" customHeight="false" outlineLevel="0" collapsed="false">
      <c r="A3" s="5" t="s">
        <v>7</v>
      </c>
      <c r="B3" s="5" t="s">
        <v>81</v>
      </c>
    </row>
    <row r="4" customFormat="false" ht="15" hidden="false" customHeight="false" outlineLevel="0" collapsed="false">
      <c r="A4" s="6" t="s">
        <v>82</v>
      </c>
      <c r="B4" s="6" t="n">
        <f aca="false">COUNTIF('AI System Inventory'!H:H,"Unacceptable")</f>
        <v>0</v>
      </c>
    </row>
    <row r="5" customFormat="false" ht="15" hidden="false" customHeight="false" outlineLevel="0" collapsed="false">
      <c r="A5" s="6" t="s">
        <v>23</v>
      </c>
      <c r="B5" s="6" t="n">
        <f aca="false">COUNTIF('AI System Inventory'!H:H,"High")</f>
        <v>3</v>
      </c>
    </row>
    <row r="6" customFormat="false" ht="15" hidden="false" customHeight="false" outlineLevel="0" collapsed="false">
      <c r="A6" s="6" t="s">
        <v>38</v>
      </c>
      <c r="B6" s="6" t="n">
        <f aca="false">COUNTIF('AI System Inventory'!H:H,"Limited")</f>
        <v>1</v>
      </c>
    </row>
    <row r="7" customFormat="false" ht="15" hidden="false" customHeight="false" outlineLevel="0" collapsed="false">
      <c r="A7" s="6" t="s">
        <v>63</v>
      </c>
      <c r="B7" s="6" t="n">
        <f aca="false">COUNTIF('AI System Inventory'!H:H,"Minimal")</f>
        <v>1</v>
      </c>
    </row>
    <row r="9" customFormat="false" ht="15" hidden="false" customHeight="false" outlineLevel="0" collapsed="false">
      <c r="A9" s="7" t="s">
        <v>83</v>
      </c>
      <c r="B9" s="7" t="n">
        <f aca="false">COUNTA('AI System Inventory'!A2:A500)</f>
        <v>5</v>
      </c>
    </row>
    <row r="11" customFormat="false" ht="15" hidden="false" customHeight="false" outlineLevel="0" collapsed="false">
      <c r="A11" s="0" t="s">
        <v>84</v>
      </c>
      <c r="B11" s="0" t="n">
        <f aca="false">COUNTIF('AI System Inventory'!K:K,"Yes")</f>
        <v>3</v>
      </c>
    </row>
    <row r="13" customFormat="false" ht="15" hidden="false" customHeight="false" outlineLevel="0" collapsed="false">
      <c r="A13" s="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2026-07-03T15:29:59Z</dcterms:created>
  <dc:creator>openpyxl</dc:creator>
  <dc:description/>
  <dc:language>en-US</dc:language>
  <cp:lastModifiedBy/>
  <dcterms:modified xsi:type="dcterms:W3CDTF">2026-07-03T15:29:59Z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