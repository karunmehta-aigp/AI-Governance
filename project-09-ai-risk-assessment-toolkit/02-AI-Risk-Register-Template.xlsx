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definedNames>
    <definedName function="false" hidden="true" localSheetId="0" name="_xlnm._FilterDatabase" vbProcedure="false">'Risk Register'!$A$4:$M$9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<sst xmlns="http://schemas.openxmlformats.org/spreadsheetml/2006/main" count="55" uniqueCount="48">
  <si>
    <t xml:space="preserve">AI Risk Register</t>
  </si>
  <si>
    <t xml:space="preserve">Risk score and rating auto-calculate from Likelihood x Impact. See AI Risk Assessment Methodology (RISK-001) for scoring definitions.</t>
  </si>
  <si>
    <t xml:space="preserve">Risk ID</t>
  </si>
  <si>
    <t xml:space="preserve">System ID</t>
  </si>
  <si>
    <t xml:space="preserve">Risk Category</t>
  </si>
  <si>
    <t xml:space="preserve">Description</t>
  </si>
  <si>
    <t xml:space="preserve">Likelihood (1-5)</t>
  </si>
  <si>
    <t xml:space="preserve">Impact (1-5)</t>
  </si>
  <si>
    <t xml:space="preserve">Score</t>
  </si>
  <si>
    <t xml:space="preserve">Rating</t>
  </si>
  <si>
    <t xml:space="preserve">Treatment Strategy</t>
  </si>
  <si>
    <t xml:space="preserve">Treatment Action</t>
  </si>
  <si>
    <t xml:space="preserve">Owner</t>
  </si>
  <si>
    <t xml:space="preserve">Status</t>
  </si>
  <si>
    <t xml:space="preserve">Review Date</t>
  </si>
  <si>
    <t xml:space="preserve">RISK-001</t>
  </si>
  <si>
    <t xml:space="preserve">ORG-AI-001</t>
  </si>
  <si>
    <t xml:space="preserve">Fairness/Bias</t>
  </si>
  <si>
    <t xml:space="preserve">Credit model may systematically disadvantage applicants in a protected group</t>
  </si>
  <si>
    <t xml:space="preserve">Mitigate</t>
  </si>
  <si>
    <t xml:space="preserve">Quarterly disparate-impact testing across protected classes</t>
  </si>
  <si>
    <t xml:space="preserve">ML Engineering Lead</t>
  </si>
  <si>
    <t xml:space="preserve">Open</t>
  </si>
  <si>
    <t xml:space="preserve">RISK-002</t>
  </si>
  <si>
    <t xml:space="preserve">ORG-AI-003</t>
  </si>
  <si>
    <t xml:space="preserve">Performance</t>
  </si>
  <si>
    <t xml:space="preserve">AML monitoring model under-flags novel laundering typologies not in training data</t>
  </si>
  <si>
    <t xml:space="preserve">Backtest against known cases quarterly; add typology-specific rules as supplement</t>
  </si>
  <si>
    <t xml:space="preserve">Data Science Lead</t>
  </si>
  <si>
    <t xml:space="preserve">RISK-003</t>
  </si>
  <si>
    <t xml:space="preserve">ORG-AI-005</t>
  </si>
  <si>
    <t xml:space="preserve">Recruitment screening tool may use proxy features correlated with protected characteristics</t>
  </si>
  <si>
    <t xml:space="preserve">Independent bias audit annually; test specifically for proxy discrimination</t>
  </si>
  <si>
    <t xml:space="preserve">HR Systems Lead</t>
  </si>
  <si>
    <t xml:space="preserve">In Progress</t>
  </si>
  <si>
    <t xml:space="preserve">RISK-004</t>
  </si>
  <si>
    <t xml:space="preserve">ORG-AI-006</t>
  </si>
  <si>
    <t xml:space="preserve">Security</t>
  </si>
  <si>
    <t xml:space="preserve">Voice biometric system vulnerable to synthetic voice spoofing</t>
  </si>
  <si>
    <t xml:space="preserve">Add liveness detection; monitor for anomalous authentication patterns</t>
  </si>
  <si>
    <t xml:space="preserve">Security Engineering Lead</t>
  </si>
  <si>
    <t xml:space="preserve">RISK-005</t>
  </si>
  <si>
    <t xml:space="preserve">ORG-AI-002</t>
  </si>
  <si>
    <t xml:space="preserve">Third-Party/Vendor</t>
  </si>
  <si>
    <t xml:space="preserve">Vendor A chatbot model updates without advance notice, risking behaviour drift</t>
  </si>
  <si>
    <t xml:space="preserve">Transfer</t>
  </si>
  <si>
    <t xml:space="preserve">Add change-notification clause to vendor contract renewal</t>
  </si>
  <si>
    <t xml:space="preserve">Platform Engineering Lead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</si>
</sst>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CE4E4"/>
        </patternFill>
      </fill>
    </dxf>
    <dxf>
      <fill>
        <patternFill>
          <bgColor rgb="FFFDE9D9"/>
        </patternFill>
      </fill>
    </dxf>
    <dxf>
      <fill>
        <patternFill>
          <bgColor rgb="FFFFF3CD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DE9D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28"/>
    <col collapsed="false" customWidth="true" hidden="false" outlineLevel="0" max="11" min="11" style="0" width="14"/>
    <col collapsed="false" customWidth="true" hidden="false" outlineLevel="0" max="13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35.0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n">
        <v>3</v>
      </c>
      <c r="F5" s="4" t="n">
        <v>4</v>
      </c>
      <c r="G5" s="4" t="n">
        <f aca="false">E5*F5</f>
        <v>12</v>
      </c>
      <c r="H5" s="4" t="str">
        <f aca="false">IF(G5&gt;=16,"Critical",IF(G5&gt;=10,"High",IF(G5&gt;=5,"Medium","Low")))</f>
        <v>High</v>
      </c>
      <c r="I5" s="4" t="s">
        <v>19</v>
      </c>
      <c r="J5" s="4" t="s">
        <v>20</v>
      </c>
      <c r="K5" s="4" t="s">
        <v>21</v>
      </c>
      <c r="L5" s="4" t="s">
        <v>22</v>
      </c>
      <c r="M5" s="4"/>
    </row>
    <row r="6" customFormat="false" ht="35.05" hidden="false" customHeight="false" outlineLevel="0" collapsed="false">
      <c r="A6" s="5" t="s">
        <v>23</v>
      </c>
      <c r="B6" s="5" t="s">
        <v>24</v>
      </c>
      <c r="C6" s="5" t="s">
        <v>25</v>
      </c>
      <c r="D6" s="5" t="s">
        <v>26</v>
      </c>
      <c r="E6" s="5" t="n">
        <v>3</v>
      </c>
      <c r="F6" s="5" t="n">
        <v>5</v>
      </c>
      <c r="G6" s="5" t="n">
        <f aca="false">E6*F6</f>
        <v>15</v>
      </c>
      <c r="H6" s="5" t="str">
        <f aca="false">IF(G6&gt;=16,"Critical",IF(G6&gt;=10,"High",IF(G6&gt;=5,"Medium","Low")))</f>
        <v>High</v>
      </c>
      <c r="I6" s="5" t="s">
        <v>19</v>
      </c>
      <c r="J6" s="5" t="s">
        <v>27</v>
      </c>
      <c r="K6" s="5" t="s">
        <v>28</v>
      </c>
      <c r="L6" s="5" t="s">
        <v>22</v>
      </c>
      <c r="M6" s="5"/>
    </row>
    <row r="7" customFormat="false" ht="35.05" hidden="false" customHeight="false" outlineLevel="0" collapsed="false">
      <c r="A7" s="4" t="s">
        <v>29</v>
      </c>
      <c r="B7" s="4" t="s">
        <v>30</v>
      </c>
      <c r="C7" s="4" t="s">
        <v>17</v>
      </c>
      <c r="D7" s="4" t="s">
        <v>31</v>
      </c>
      <c r="E7" s="4" t="n">
        <v>3</v>
      </c>
      <c r="F7" s="4" t="n">
        <v>4</v>
      </c>
      <c r="G7" s="4" t="n">
        <f aca="false">E7*F7</f>
        <v>12</v>
      </c>
      <c r="H7" s="4" t="str">
        <f aca="false">IF(G7&gt;=16,"Critical",IF(G7&gt;=10,"High",IF(G7&gt;=5,"Medium","Low")))</f>
        <v>High</v>
      </c>
      <c r="I7" s="4" t="s">
        <v>19</v>
      </c>
      <c r="J7" s="4" t="s">
        <v>32</v>
      </c>
      <c r="K7" s="4" t="s">
        <v>33</v>
      </c>
      <c r="L7" s="4" t="s">
        <v>34</v>
      </c>
      <c r="M7" s="4"/>
    </row>
    <row r="8" customFormat="false" ht="23.85" hidden="false" customHeight="false" outlineLevel="0" collapsed="false">
      <c r="A8" s="5" t="s">
        <v>35</v>
      </c>
      <c r="B8" s="5" t="s">
        <v>36</v>
      </c>
      <c r="C8" s="5" t="s">
        <v>37</v>
      </c>
      <c r="D8" s="5" t="s">
        <v>38</v>
      </c>
      <c r="E8" s="5" t="n">
        <v>2</v>
      </c>
      <c r="F8" s="5" t="n">
        <v>5</v>
      </c>
      <c r="G8" s="5" t="n">
        <f aca="false">E8*F8</f>
        <v>10</v>
      </c>
      <c r="H8" s="5" t="str">
        <f aca="false">IF(G8&gt;=16,"Critical",IF(G8&gt;=10,"High",IF(G8&gt;=5,"Medium","Low")))</f>
        <v>High</v>
      </c>
      <c r="I8" s="5" t="s">
        <v>19</v>
      </c>
      <c r="J8" s="5" t="s">
        <v>39</v>
      </c>
      <c r="K8" s="5" t="s">
        <v>40</v>
      </c>
      <c r="L8" s="5" t="s">
        <v>22</v>
      </c>
      <c r="M8" s="5"/>
    </row>
    <row r="9" customFormat="false" ht="23.85" hidden="false" customHeight="false" outlineLevel="0" collapsed="false">
      <c r="A9" s="4" t="s">
        <v>41</v>
      </c>
      <c r="B9" s="4" t="s">
        <v>42</v>
      </c>
      <c r="C9" s="4" t="s">
        <v>43</v>
      </c>
      <c r="D9" s="4" t="s">
        <v>44</v>
      </c>
      <c r="E9" s="4" t="n">
        <v>3</v>
      </c>
      <c r="F9" s="4" t="n">
        <v>3</v>
      </c>
      <c r="G9" s="4" t="n">
        <f aca="false">E9*F9</f>
        <v>9</v>
      </c>
      <c r="H9" s="4" t="str">
        <f aca="false">IF(G9&gt;=16,"Critical",IF(G9&gt;=10,"High",IF(G9&gt;=5,"Medium","Low")))</f>
        <v>Medium</v>
      </c>
      <c r="I9" s="4" t="s">
        <v>45</v>
      </c>
      <c r="J9" s="4" t="s">
        <v>46</v>
      </c>
      <c r="K9" s="4" t="s">
        <v>47</v>
      </c>
      <c r="L9" s="4" t="s">
        <v>22</v>
      </c>
      <c r="M9" s="4"/>
    </row>
  </sheetData>
  <autoFilter ref="A4:M9"/>
  <conditionalFormatting sqref="H5:H9">
    <cfRule type="cellIs" priority="2" operator="equal" aboveAverage="0" equalAverage="0" bottom="0" percent="0" rank="0" text="" dxfId="6">
      <formula>"Critical"</formula>
    </cfRule>
    <cfRule type="cellIs" priority="3" operator="equal" aboveAverage="0" equalAverage="0" bottom="0" percent="0" rank="0" text="" dxfId="7">
      <formula>"High"</formula>
    </cfRule>
    <cfRule type="cellIs" priority="4" operator="equal" aboveAverage="0" equalAverage="0" bottom="0" percent="0" rank="0" text="" dxfId="8">
      <formula>"Medium"</formula>
    </cfRule>
    <cfRule type="cellIs" priority="5" operator="equal" aboveAverage="0" equalAverage="0" bottom="0" percent="0" rank="0" text="" dxfId="9">
      <formula>"Low"</formula>
    </cfRule>
  </conditionalFormatting>
  <dataValidations count="3">
    <dataValidation allowBlank="true" errorStyle="stop" operator="between" showDropDown="false" showErrorMessage="false" showInputMessage="false" sqref="E5:F9" type="whole">
      <formula1>1</formula1>
      <formula2>5</formula2>
    </dataValidation>
    <dataValidation allowBlank="true" errorStyle="stop" operator="between" showDropDown="false" showErrorMessage="false" showInputMessage="false" sqref="L5:L9" type="list">
      <formula1>"Open,In Progress,Closed,Accepted"</formula1>
      <formula2>0</formula2>
    </dataValidation>
    <dataValidation allowBlank="true" errorStyle="stop" operator="between" showDropDown="false" showErrorMessage="false" showInputMessage="false" sqref="I5:I9" type="list">
      <formula1>"Mitigate,Transfer,Avoid,Accept"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2026-07-03T19:53:03Z</dcterms:created>
  <dc:creator>openpyxl</dc:creator>
  <dc:description/>
  <dc:language>en-US</dc:language>
  <cp:lastModifiedBy/>
  <dcterms:modified xsi:type="dcterms:W3CDTF">2026-07-03T19:53:03Z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