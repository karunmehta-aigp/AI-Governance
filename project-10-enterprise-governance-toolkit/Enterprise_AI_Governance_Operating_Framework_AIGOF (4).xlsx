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5.xml.rels" ContentType="application/vnd.openxmlformats-package.relationships+xml"/>
  <Override PartName="/xl/worksheets/_rels/sheet4.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ver &amp; Instructions" sheetId="2" state="visible" r:id="rId4"/>
    <sheet name="Executive Summary" sheetId="3" state="visible" r:id="rId5"/>
    <sheet name="Dashboard" sheetId="4" state="visible" r:id="rId6"/>
    <sheet name="Operating Model" sheetId="5" state="visible" r:id="rId7"/>
    <sheet name="Lifecycle View" sheetId="6" state="visible" r:id="rId8"/>
    <sheet name="Governance Roadmap" sheetId="7" state="visible" r:id="rId9"/>
    <sheet name="Stage Gates" sheetId="8" state="visible" r:id="rId10"/>
    <sheet name="Framework Mapping Matrix" sheetId="9" state="visible" r:id="rId11"/>
    <sheet name="Master Crosswalk" sheetId="10" state="visible" r:id="rId12"/>
    <sheet name="EU AI Act Full Assessment" sheetId="11" state="visible" r:id="rId13"/>
    <sheet name="ISO 42001 Full Assessment" sheetId="12" state="visible" r:id="rId14"/>
    <sheet name="Audit Checklist - NIST" sheetId="13" state="visible" r:id="rId15"/>
    <sheet name="Audit Checklist - EU AI Act" sheetId="14" state="visible" r:id="rId16"/>
    <sheet name="Audit Checklist - ISO 42001" sheetId="15" state="visible" r:id="rId17"/>
    <sheet name="Responsible AI" sheetId="16" state="visible" r:id="rId18"/>
    <sheet name="Guardrails - Foundational" sheetId="17" state="visible" r:id="rId19"/>
    <sheet name="Guardrails - Technical" sheetId="18" state="visible" r:id="rId20"/>
    <sheet name="GenAI Controls" sheetId="19" state="visible" r:id="rId21"/>
    <sheet name="Data Governance" sheetId="20" state="visible" r:id="rId22"/>
    <sheet name="Model Governance" sheetId="21" state="visible" r:id="rId23"/>
    <sheet name="AI SDLC" sheetId="22" state="visible" r:id="rId24"/>
    <sheet name="Program Management" sheetId="23" state="visible" r:id="rId25"/>
    <sheet name="AI Inventory" sheetId="24" state="visible" r:id="rId26"/>
    <sheet name="AI Risk Register" sheetId="25" state="visible" r:id="rId27"/>
    <sheet name="AI Incident Register" sheetId="26" state="visible" r:id="rId28"/>
    <sheet name="Exception Register" sheetId="27" state="visible" r:id="rId29"/>
    <sheet name="Controls Library" sheetId="28" state="visible" r:id="rId30"/>
    <sheet name="Model Card Template" sheetId="29" state="visible" r:id="rId31"/>
    <sheet name="Evidence Catalog" sheetId="30" state="visible" r:id="rId32"/>
    <sheet name="Vendor Assessment" sheetId="31" state="visible" r:id="rId33"/>
    <sheet name="RACI Matrix" sheetId="32" state="visible" r:id="rId34"/>
    <sheet name="Committee Decision Log" sheetId="33" state="visible" r:id="rId35"/>
    <sheet name="KPI Catalog" sheetId="34" state="visible" r:id="rId36"/>
    <sheet name="Maturity Assessment" sheetId="35" state="visible" r:id="rId37"/>
    <sheet name="GDPR &amp; Privacy" sheetId="36" state="visible" r:id="rId38"/>
    <sheet name="US State AI Laws" sheetId="37" state="visible" r:id="rId39"/>
    <sheet name="Financial Services Pack" sheetId="38" state="visible" r:id="rId40"/>
    <sheet name="Sector - Healthcare" sheetId="39" state="visible" r:id="rId41"/>
    <sheet name="Sector - Insurance" sheetId="40" state="visible" r:id="rId42"/>
    <sheet name="Sector - Employment" sheetId="41" state="visible" r:id="rId43"/>
    <sheet name="Sector - Public Sector" sheetId="42" state="visible" r:id="rId44"/>
    <sheet name="Framework Reference" sheetId="43" state="visible" r:id="rId4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<sst xmlns="http://schemas.openxmlformats.org/spreadsheetml/2006/main" count="5984" uniqueCount="2429">
  <si>
    <t xml:space="preserve">Enterprise AI Governance Operating Framework (AIGOF)</t>
  </si>
  <si>
    <t xml:space="preserve">README — Start Here</t>
  </si>
  <si>
    <t xml:space="preserve">Purpose</t>
  </si>
  <si>
    <t xml:space="preserve">A complete, audit-ready toolkit to assess, govern, and operate AI systems against NIST AI RMF, ISO/IEC 42001, and the EU AI Act — with the operational artifacts (inventory, risk register, controls library, KPIs, committee governance) needed to actually run a program, not just assess one.</t>
  </si>
  <si>
    <t xml:space="preserve">Who should use it</t>
  </si>
  <si>
    <t xml:space="preserve">AI Governance &amp; Risk teams (assessment, controls, KPIs); Internal Audit (checklists, evidence catalog); Program Management (operating model, RACI, decision log); Product &amp; Data Science (model cards, SDLC, guardrails); Compliance &amp; Privacy (EU AI Act, GDPR, state-law tracking, sector packs).</t>
  </si>
  <si>
    <t xml:space="preserve">How to use it — recommended flow</t>
  </si>
  <si>
    <t xml:space="preserve">1. Operating Model — understand the end-to-end governance flow and stage ownership.</t>
  </si>
  <si>
    <t xml:space="preserve">2. AI Inventory — catalog your AI systems and assign risk tiers.</t>
  </si>
  <si>
    <t xml:space="preserve">3. Gap Assessment — work the Master Crosswalk + framework checklists for in-scope systems.</t>
  </si>
  <si>
    <t xml:space="preserve">4. Risk Register — capture gaps as risks with owners and residual ratings.</t>
  </si>
  <si>
    <t xml:space="preserve">5. Controls Library — map which controls address each risk; track implementation.</t>
  </si>
  <si>
    <t xml:space="preserve">6. Evidence Catalog — gather the artifacts that prove each control operates.</t>
  </si>
  <si>
    <t xml:space="preserve">7. Dashboard &amp; Maturity — roll up status, KPIs, and maturity for leadership.</t>
  </si>
  <si>
    <t xml:space="preserve">What each worksheet is for</t>
  </si>
  <si>
    <t xml:space="preserve">Worksheet Group</t>
  </si>
  <si>
    <t xml:space="preserve">Dashboard</t>
  </si>
  <si>
    <t xml:space="preserve">Executive roll-up: coverage, KPIs, maturity, heatmaps</t>
  </si>
  <si>
    <t xml:space="preserve">Operating Model / Lifecycle View</t>
  </si>
  <si>
    <t xml:space="preserve">End-to-end governance flow mapped to owners, frameworks, controls</t>
  </si>
  <si>
    <t xml:space="preserve">Master Crosswalk</t>
  </si>
  <si>
    <t xml:space="preserve">NIST x ISO x EU AI Act, the analytical heart of the toolkit</t>
  </si>
  <si>
    <t xml:space="preserve">Framework Assessments &amp; Audit Checklists</t>
  </si>
  <si>
    <t xml:space="preserve">Detailed testable questions per framework</t>
  </si>
  <si>
    <t xml:space="preserve">Responsible AI / Guardrails / GenAI Controls</t>
  </si>
  <si>
    <t xml:space="preserve">Principle- and control-level checks incl. GenAI &amp; agentic</t>
  </si>
  <si>
    <t xml:space="preserve">Data / Model Gov, SDLC, Program Mgmt</t>
  </si>
  <si>
    <t xml:space="preserve">Operational governance across the lifecycle</t>
  </si>
  <si>
    <t xml:space="preserve">Inventory / Risk / Controls / RACI / Decision Log / KPI / Maturity</t>
  </si>
  <si>
    <t xml:space="preserve">Core operating artifacts to run the program</t>
  </si>
  <si>
    <t xml:space="preserve">Evidence Catalog / Model Card / Incident / Exception / Vendor</t>
  </si>
  <si>
    <t xml:space="preserve">Audit-facing artifacts and registers</t>
  </si>
  <si>
    <t xml:space="preserve">GDPR / State Laws / Sector Packs / Financial Services</t>
  </si>
  <si>
    <t xml:space="preserve">Compliance and sector-specific overlays</t>
  </si>
  <si>
    <t xml:space="preserve">Framework Reference</t>
  </si>
  <si>
    <t xml:space="preserve">Appendix: what every cited clause/article/principle means</t>
  </si>
  <si>
    <t xml:space="preserve">Important: This is a professional assessment instrument, not a certification or legal advice. The US State AI Laws tab is time-sensitive — re-verify before relying on it. Confirm sector/privacy specifics with qualified counsel.</t>
  </si>
  <si>
    <t xml:space="preserve">Enterprise AI Governance Operating Framework (AIGOF) &amp; Gap Assessment</t>
  </si>
  <si>
    <t xml:space="preserve">NIST AI RMF 1.0  x  ISO/IEC 42001  x  EU AI Act</t>
  </si>
  <si>
    <t xml:space="preserve">This workbook provides a structured, audit-ready crosswalk between the NIST AI Risk Management Framework (AI RMF 1.0), ISO/IEC 42001:2023 (AI Management System), and the EU AI Act — anchored to NIST's full set of 72 published subcategories across the Govern, Map, Measure, and Manage functions.</t>
  </si>
  <si>
    <t xml:space="preserve">How this is built</t>
  </si>
  <si>
    <t xml:space="preserve">This is a full enterprise AI governance audit toolkit organized in three layers. FRAMEWORK LAYER (tabs 3-8): the executive crosswalk plus detailed audit checklists for NIST AI RMF, EU AI Act, and ISO/IEC 42001. RESPONSIBLE-AI &amp; GUARDRAILS LAYER (tabs 9-10): Responsible AI principles and technical guardrails across input/model/output/operational controls. OPERATIONAL LAYER (tabs 11-15): Data Governance, Model Governance, AI SDLC (controls by lifecycle phase), AI Program Management (RAID &amp; KPIs), and a region-neutral Financial Services pack. The Dashboard rolls up every tab and includes an executive KPI panel and a 1-5 maturity scale.</t>
  </si>
  <si>
    <t xml:space="preserve">Tabs in this workbook</t>
  </si>
  <si>
    <t xml:space="preserve">1-2. Cover &amp; Dashboard (with KPI panel + maturity scale)</t>
  </si>
  <si>
    <t xml:space="preserve">3-5. Executive Crosswalk — NIST / EU AI Act / ISO 42001 (140 items)</t>
  </si>
  <si>
    <t xml:space="preserve">6-8. Detailed Audit Checklists — testable questions per framework (~361 items)</t>
  </si>
  <si>
    <t xml:space="preserve">9-10. Responsible AI &amp; Guardrails — principles + technical guardrail controls</t>
  </si>
  <si>
    <t xml:space="preserve">11-15. Operational Layer — Data Gov, Model Gov, AI SDLC, Program Mgmt, Financial Services</t>
  </si>
  <si>
    <t xml:space="preserve">16. Framework Reference — extended legend (frameworks, RAI principles, guardrail taxonomy, MRM concepts)</t>
  </si>
  <si>
    <t xml:space="preserve">How to use it</t>
  </si>
  <si>
    <t xml:space="preserve">Complete the Current State, Evidence, Gap, Risk Rating, Recommendation, Owner, Priority, and Status columns on the Master Crosswalk tab for your organization or illustrative use case. Risk Rating and Priority use dropdown validation. The Dashboard tab updates automatically as you fill in the assessment.</t>
  </si>
  <si>
    <t xml:space="preserve">Note on scope</t>
  </si>
  <si>
    <t xml:space="preserve">This crosswalk covers the AI Management System / risk-management backbone shared across all three frameworks. It does not reproduce full standard text (ISO/IEC 42001 is copyrighted; this workbook cites clause numbers and topics only). For a specific use case (e.g., automated resume screening, credit underwriting), add use-case-specific control rows beneath the relevant domain.</t>
  </si>
  <si>
    <t xml:space="preserve">Document Control</t>
  </si>
  <si>
    <t xml:space="preserve">Document Owner:</t>
  </si>
  <si>
    <t xml:space="preserve">[ Your Name ]</t>
  </si>
  <si>
    <t xml:space="preserve">Version:</t>
  </si>
  <si>
    <t xml:space="preserve">9.0</t>
  </si>
  <si>
    <t xml:space="preserve">Last Updated:</t>
  </si>
  <si>
    <t xml:space="preserve">[ date ]</t>
  </si>
  <si>
    <t xml:space="preserve">Classification:</t>
  </si>
  <si>
    <t xml:space="preserve">Confidential — Portfolio / Client Deliverable</t>
  </si>
  <si>
    <t xml:space="preserve">Review Cycle:</t>
  </si>
  <si>
    <t xml:space="preserve">Quarterly</t>
  </si>
  <si>
    <t xml:space="preserve">Version History</t>
  </si>
  <si>
    <t xml:space="preserve">Version</t>
  </si>
  <si>
    <t xml:space="preserve">Summary of Changes</t>
  </si>
  <si>
    <t xml:space="preserve">1.0</t>
  </si>
  <si>
    <t xml:space="preserve">Initial 4-tab crosswalk (NIST-anchored)</t>
  </si>
  <si>
    <t xml:space="preserve">2.0</t>
  </si>
  <si>
    <t xml:space="preserve">Added full EU AI Act &amp; ISO 42001 assessment tabs</t>
  </si>
  <si>
    <t xml:space="preserve">3.0</t>
  </si>
  <si>
    <t xml:space="preserve">Added detailed audit checklists (testable questions)</t>
  </si>
  <si>
    <t xml:space="preserve">4.0</t>
  </si>
  <si>
    <t xml:space="preserve">Added Responsible AI &amp; technical guardrails</t>
  </si>
  <si>
    <t xml:space="preserve">5.0</t>
  </si>
  <si>
    <t xml:space="preserve">Added operational layer: Data/Model Gov, SDLC, Program Mgmt, Financial Services; KPI dashboard</t>
  </si>
  <si>
    <t xml:space="preserve">6.0</t>
  </si>
  <si>
    <t xml:space="preserve">Added operational artifacts (inventory, risk register, controls library, RACI, decision log, KPI catalog, maturity), sector packs, US state-law tracker, GDPR checklist, lifecycle view; split RAI/Guardrails</t>
  </si>
  <si>
    <t xml:space="preserve">Executive Summary — AI Governance Program</t>
  </si>
  <si>
    <t xml:space="preserve">Current State — Key Metrics</t>
  </si>
  <si>
    <t xml:space="preserve">AI Systems in Inventory</t>
  </si>
  <si>
    <t xml:space="preserve">Open Risks</t>
  </si>
  <si>
    <t xml:space="preserve">AI Systems in Production</t>
  </si>
  <si>
    <t xml:space="preserve">Critical/High Open Risks</t>
  </si>
  <si>
    <t xml:space="preserve">High / Critical Risk Systems</t>
  </si>
  <si>
    <t xml:space="preserve">Overall Maturity (of 5)</t>
  </si>
  <si>
    <t xml:space="preserve">Top Risks (enter your top items)</t>
  </si>
  <si>
    <t xml:space="preserve">#</t>
  </si>
  <si>
    <t xml:space="preserve">Top Risk</t>
  </si>
  <si>
    <t xml:space="preserve">Top Recommendations</t>
  </si>
  <si>
    <t xml:space="preserve">Recommendation</t>
  </si>
  <si>
    <t xml:space="preserve">30 / 60 / 90-Day Roadmap</t>
  </si>
  <si>
    <t xml:space="preserve">30 Days</t>
  </si>
  <si>
    <t xml:space="preserve">60 Days</t>
  </si>
  <si>
    <t xml:space="preserve">90 Days</t>
  </si>
  <si>
    <t xml:space="preserve">Charter, inventory kickoff</t>
  </si>
  <si>
    <t xml:space="preserve">Gap assessment, risk register</t>
  </si>
  <si>
    <t xml:space="preserve">Controls, KPIs, first committee review</t>
  </si>
  <si>
    <t xml:space="preserve">Note: metric cells are live-linked to the Inventory, Risk Register, and Maturity tabs. Blue cells are for narrative entry.</t>
  </si>
  <si>
    <t xml:space="preserve">Executive Dashboard — Gap Assessment Summary</t>
  </si>
  <si>
    <t xml:space="preserve">Total Requirements Assessed (All 3 Tabs)</t>
  </si>
  <si>
    <t xml:space="preserve">Overall Maturity</t>
  </si>
  <si>
    <t xml:space="preserve">NIST AI RMF Subcategories</t>
  </si>
  <si>
    <t xml:space="preserve">EU AI Act Articles</t>
  </si>
  <si>
    <t xml:space="preserve">out of 5.0</t>
  </si>
  <si>
    <t xml:space="preserve">ISO/IEC 42001 Clauses &amp; Controls</t>
  </si>
  <si>
    <t xml:space="preserve">Complete (All Tabs)</t>
  </si>
  <si>
    <t xml:space="preserve">% Complete</t>
  </si>
  <si>
    <t xml:space="preserve">Total Detailed Audit Questions (4 Checklist Tabs)</t>
  </si>
  <si>
    <t xml:space="preserve">NIST Crosswalk — By Domain</t>
  </si>
  <si>
    <t xml:space="preserve">Domain</t>
  </si>
  <si>
    <t xml:space="preserve"># Requirements</t>
  </si>
  <si>
    <t xml:space="preserve">Critical/High Risk</t>
  </si>
  <si>
    <t xml:space="preserve">Governance &amp; Policy</t>
  </si>
  <si>
    <t xml:space="preserve">Risk Identification (Map)</t>
  </si>
  <si>
    <t xml:space="preserve">Testing &amp; Measurement (Measure)</t>
  </si>
  <si>
    <t xml:space="preserve">Risk Treatment (Manage)</t>
  </si>
  <si>
    <t xml:space="preserve">By Framework</t>
  </si>
  <si>
    <t xml:space="preserve">Framework</t>
  </si>
  <si>
    <t xml:space="preserve"># Items</t>
  </si>
  <si>
    <t xml:space="preserve">NIST AI RMF</t>
  </si>
  <si>
    <t xml:space="preserve">EU AI Act</t>
  </si>
  <si>
    <t xml:space="preserve">ISO/IEC 42001</t>
  </si>
  <si>
    <t xml:space="preserve">NIST Crosswalk — By Risk Rating</t>
  </si>
  <si>
    <t xml:space="preserve">Risk Rating</t>
  </si>
  <si>
    <t xml:space="preserve">Count</t>
  </si>
  <si>
    <t xml:space="preserve">Critical</t>
  </si>
  <si>
    <t xml:space="preserve">High</t>
  </si>
  <si>
    <t xml:space="preserve">Medium</t>
  </si>
  <si>
    <t xml:space="preserve">Low</t>
  </si>
  <si>
    <t xml:space="preserve">Executive KPIs (auto-calculated from tabs; blue = manual entry)</t>
  </si>
  <si>
    <t xml:space="preserve">Metric</t>
  </si>
  <si>
    <t xml:space="preserve">Value</t>
  </si>
  <si>
    <t xml:space="preserve">Target / Note</t>
  </si>
  <si>
    <t xml:space="preserve">AI systems in production</t>
  </si>
  <si>
    <t xml:space="preserve">Live from AI Inventory</t>
  </si>
  <si>
    <t xml:space="preserve">High-risk AI systems</t>
  </si>
  <si>
    <t xml:space="preserve">AI inventory coverage (%)</t>
  </si>
  <si>
    <t xml:space="preserve">% of inventoried systems</t>
  </si>
  <si>
    <t xml:space="preserve">Open P1 findings</t>
  </si>
  <si>
    <t xml:space="preserve">Live from Risk Register</t>
  </si>
  <si>
    <t xml:space="preserve">Open audit issues</t>
  </si>
  <si>
    <t xml:space="preserve">Track to closure</t>
  </si>
  <si>
    <t xml:space="preserve">Average maturity score (1-5)</t>
  </si>
  <si>
    <t xml:space="preserve">Live avg from Maturity tab</t>
  </si>
  <si>
    <t xml:space="preserve">AI incidents (last 12 mo)</t>
  </si>
  <si>
    <t xml:space="preserve">Live from Incident Register</t>
  </si>
  <si>
    <t xml:space="preserve">Mean time to remediate (days)</t>
  </si>
  <si>
    <t xml:space="preserve">Lower is better</t>
  </si>
  <si>
    <t xml:space="preserve">Drift events (last 12 mo)</t>
  </si>
  <si>
    <t xml:space="preserve">Hallucination rate (%) — GenAI</t>
  </si>
  <si>
    <t xml:space="preserve">Where measured</t>
  </si>
  <si>
    <t xml:space="preserve">Maturity Scale</t>
  </si>
  <si>
    <t xml:space="preserve">1 — Initial</t>
  </si>
  <si>
    <t xml:space="preserve">Ad hoc, undocumented, reactive</t>
  </si>
  <si>
    <t xml:space="preserve">2 — Developing</t>
  </si>
  <si>
    <t xml:space="preserve">Some processes exist but inconsistent</t>
  </si>
  <si>
    <t xml:space="preserve">3 — Defined</t>
  </si>
  <si>
    <t xml:space="preserve">Documented and standardized</t>
  </si>
  <si>
    <t xml:space="preserve">4 — Managed</t>
  </si>
  <si>
    <t xml:space="preserve">Measured, monitored, evidence-based</t>
  </si>
  <si>
    <t xml:space="preserve">5 — Optimized</t>
  </si>
  <si>
    <t xml:space="preserve">Continuously improved, benchmarked</t>
  </si>
  <si>
    <t xml:space="preserve">Workbook Coverage — All Assessment / Control Tabs</t>
  </si>
  <si>
    <t xml:space="preserve">Layer / Tab</t>
  </si>
  <si>
    <t xml:space="preserve">Yes-Complete</t>
  </si>
  <si>
    <t xml:space="preserve">Audit Checklist - NIST</t>
  </si>
  <si>
    <t xml:space="preserve">Audit Checklist - EU AI Act</t>
  </si>
  <si>
    <t xml:space="preserve">Audit Checklist - ISO 42001</t>
  </si>
  <si>
    <t xml:space="preserve">Responsible AI</t>
  </si>
  <si>
    <t xml:space="preserve">Guardrails - Foundational</t>
  </si>
  <si>
    <t xml:space="preserve">Guardrails - Technical</t>
  </si>
  <si>
    <t xml:space="preserve">Data Governance</t>
  </si>
  <si>
    <t xml:space="preserve">Model Governance</t>
  </si>
  <si>
    <t xml:space="preserve">AI SDLC</t>
  </si>
  <si>
    <t xml:space="preserve">Program Management</t>
  </si>
  <si>
    <t xml:space="preserve">GDPR &amp; Privacy</t>
  </si>
  <si>
    <t xml:space="preserve">Financial Services Pack</t>
  </si>
  <si>
    <t xml:space="preserve">Sector - Healthcare</t>
  </si>
  <si>
    <t xml:space="preserve">Sector - Insurance</t>
  </si>
  <si>
    <t xml:space="preserve">Sector - Employment</t>
  </si>
  <si>
    <t xml:space="preserve">Sector - Public Sector</t>
  </si>
  <si>
    <t xml:space="preserve">GenAI Controls</t>
  </si>
  <si>
    <t xml:space="preserve">TOTAL — Assessable Items</t>
  </si>
  <si>
    <t xml:space="preserve">Executive Heatmap — Risk by Business Unit (enter 1-5; auto-colors)</t>
  </si>
  <si>
    <t xml:space="preserve">Business Unit ↓ / Dimension →</t>
  </si>
  <si>
    <t xml:space="preserve">AI Risk</t>
  </si>
  <si>
    <t xml:space="preserve">Framework Compliance</t>
  </si>
  <si>
    <t xml:space="preserve">Outstanding Findings</t>
  </si>
  <si>
    <t xml:space="preserve">Data/Model Risk</t>
  </si>
  <si>
    <t xml:space="preserve">Vendor Risk</t>
  </si>
  <si>
    <t xml:space="preserve">Retail Banking</t>
  </si>
  <si>
    <t xml:space="preserve">Lending</t>
  </si>
  <si>
    <t xml:space="preserve">Insurance</t>
  </si>
  <si>
    <t xml:space="preserve">Fraud/AML</t>
  </si>
  <si>
    <t xml:space="preserve">Wealth Mgmt</t>
  </si>
  <si>
    <t xml:space="preserve">Scale 1 (low risk, green) → 5 (high risk, red). Replace illustrative values with your assessment.</t>
  </si>
  <si>
    <t xml:space="preserve">Findings &amp; Risks — Open vs Closed</t>
  </si>
  <si>
    <t xml:space="preserve">Category</t>
  </si>
  <si>
    <t xml:space="preserve">Risks — Open</t>
  </si>
  <si>
    <t xml:space="preserve">Risks — Mitigating</t>
  </si>
  <si>
    <t xml:space="preserve">Risks — Accepted</t>
  </si>
  <si>
    <t xml:space="preserve">Risks — Closed</t>
  </si>
  <si>
    <t xml:space="preserve">Incidents — Open</t>
  </si>
  <si>
    <t xml:space="preserve">Incidents — In Progress</t>
  </si>
  <si>
    <t xml:space="preserve">Incidents — Closed</t>
  </si>
  <si>
    <t xml:space="preserve">AI Governance Operating Model — End-to-End Flow</t>
  </si>
  <si>
    <t xml:space="preserve">Stage</t>
  </si>
  <si>
    <t xml:space="preserve">Owner</t>
  </si>
  <si>
    <t xml:space="preserve">Key Deliverables</t>
  </si>
  <si>
    <t xml:space="preserve">Frameworks</t>
  </si>
  <si>
    <t xml:space="preserve">Controls</t>
  </si>
  <si>
    <t xml:space="preserve">Outputs</t>
  </si>
  <si>
    <t xml:space="preserve">Business Strategy</t>
  </si>
  <si>
    <t xml:space="preserve">Exec / Board</t>
  </si>
  <si>
    <t xml:space="preserve">AI ambition, risk appetite</t>
  </si>
  <si>
    <t xml:space="preserve">NIST GOVERN</t>
  </si>
  <si>
    <t xml:space="preserve">GOV-01, GOV-02</t>
  </si>
  <si>
    <t xml:space="preserve">Approved AI strategy</t>
  </si>
  <si>
    <t xml:space="preserve">AI Portfolio</t>
  </si>
  <si>
    <t xml:space="preserve">AI Governance</t>
  </si>
  <si>
    <t xml:space="preserve">Portfolio view, prioritization</t>
  </si>
  <si>
    <t xml:space="preserve">ISO Cl.6</t>
  </si>
  <si>
    <t xml:space="preserve">GOV-02</t>
  </si>
  <si>
    <t xml:space="preserve">Prioritized backlog</t>
  </si>
  <si>
    <t xml:space="preserve">AI Intake</t>
  </si>
  <si>
    <t xml:space="preserve">Intake form, business case</t>
  </si>
  <si>
    <t xml:space="preserve">NIST MAP 1</t>
  </si>
  <si>
    <t xml:space="preserve">GOV-06</t>
  </si>
  <si>
    <t xml:space="preserve">Registered request</t>
  </si>
  <si>
    <t xml:space="preserve">Risk Classification</t>
  </si>
  <si>
    <t xml:space="preserve">Risk tier decision</t>
  </si>
  <si>
    <t xml:space="preserve">EU Art.6; NIST MAP</t>
  </si>
  <si>
    <t xml:space="preserve">GOV-04, MOD-07</t>
  </si>
  <si>
    <t xml:space="preserve">Risk tier + Annex III flag</t>
  </si>
  <si>
    <t xml:space="preserve">Gap Assessment</t>
  </si>
  <si>
    <t xml:space="preserve">AI Gov / Audit</t>
  </si>
  <si>
    <t xml:space="preserve">Gap analysis vs frameworks</t>
  </si>
  <si>
    <t xml:space="preserve">NIST/ISO/EU</t>
  </si>
  <si>
    <t xml:space="preserve">(all checklists)</t>
  </si>
  <si>
    <t xml:space="preserve">Gap report + remediation</t>
  </si>
  <si>
    <t xml:space="preserve">Governance Committee</t>
  </si>
  <si>
    <t xml:space="preserve">Steering Committee</t>
  </si>
  <si>
    <t xml:space="preserve">Go/No-Go, exceptions, risk acceptance</t>
  </si>
  <si>
    <t xml:space="preserve">NIST GOVERN 2.3</t>
  </si>
  <si>
    <t xml:space="preserve">GOV-04, GOV-07</t>
  </si>
  <si>
    <t xml:space="preserve">Decision log entry</t>
  </si>
  <si>
    <t xml:space="preserve">Development</t>
  </si>
  <si>
    <t xml:space="preserve">Data Science</t>
  </si>
  <si>
    <t xml:space="preserve">Model build, data prep</t>
  </si>
  <si>
    <t xml:space="preserve">EU Art.10; ISO 8.3</t>
  </si>
  <si>
    <t xml:space="preserve">DAT-01, MOD-02</t>
  </si>
  <si>
    <t xml:space="preserve">Model + documentation</t>
  </si>
  <si>
    <t xml:space="preserve">Testing</t>
  </si>
  <si>
    <t xml:space="preserve">QA / Data Science</t>
  </si>
  <si>
    <t xml:space="preserve">Bias, explainability, security</t>
  </si>
  <si>
    <t xml:space="preserve">NIST MEASURE; EU Art.15</t>
  </si>
  <si>
    <t xml:space="preserve">MOD-07, TST-01..04, SEC-04</t>
  </si>
  <si>
    <t xml:space="preserve">Test reports</t>
  </si>
  <si>
    <t xml:space="preserve">Go / No-Go</t>
  </si>
  <si>
    <t xml:space="preserve">Deployment approval</t>
  </si>
  <si>
    <t xml:space="preserve">ISO 8.1; SR 11-7</t>
  </si>
  <si>
    <t xml:space="preserve">DEP-01</t>
  </si>
  <si>
    <t xml:space="preserve">Signed approval</t>
  </si>
  <si>
    <t xml:space="preserve">Deployment</t>
  </si>
  <si>
    <t xml:space="preserve">MLOps</t>
  </si>
  <si>
    <t xml:space="preserve">Release with rollback</t>
  </si>
  <si>
    <t xml:space="preserve">EU Art.43-48</t>
  </si>
  <si>
    <t xml:space="preserve">DEP-02, DEP-03</t>
  </si>
  <si>
    <t xml:space="preserve">Live system</t>
  </si>
  <si>
    <t xml:space="preserve">Monitoring</t>
  </si>
  <si>
    <t xml:space="preserve">Drift, performance, incidents</t>
  </si>
  <si>
    <t xml:space="preserve">EU Art.72; ISO 9.1</t>
  </si>
  <si>
    <t xml:space="preserve">MON-01..04</t>
  </si>
  <si>
    <t xml:space="preserve">Monitoring dashboards</t>
  </si>
  <si>
    <t xml:space="preserve">Audit</t>
  </si>
  <si>
    <t xml:space="preserve">Internal Audit</t>
  </si>
  <si>
    <t xml:space="preserve">Independent review</t>
  </si>
  <si>
    <t xml:space="preserve">ISO 9.2; NIST GOVERN 1.5</t>
  </si>
  <si>
    <t xml:space="preserve">MOD-04, (audit tabs)</t>
  </si>
  <si>
    <t xml:space="preserve">Audit findings</t>
  </si>
  <si>
    <t xml:space="preserve">PDCA / Continuous Improvement</t>
  </si>
  <si>
    <t xml:space="preserve">Program &amp; model improvement</t>
  </si>
  <si>
    <t xml:space="preserve">ISO 10.1/10.2</t>
  </si>
  <si>
    <t xml:space="preserve">GOV-05</t>
  </si>
  <si>
    <t xml:space="preserve">Improvement actions</t>
  </si>
  <si>
    <t xml:space="preserve">Retirement</t>
  </si>
  <si>
    <t xml:space="preserve">Decommission, data disposal</t>
  </si>
  <si>
    <t xml:space="preserve">ISO A.6.2.6; EU Art.12</t>
  </si>
  <si>
    <t xml:space="preserve">RET-01..03</t>
  </si>
  <si>
    <t xml:space="preserve">Retirement record</t>
  </si>
  <si>
    <t xml:space="preserve">Flow: Strategy → Portfolio → Intake → Risk Classification → Gap Assessment → Committee → Development → Testing → Go/No-Go → Deployment → Monitoring → Audit → PDCA → Retirement</t>
  </si>
  <si>
    <t xml:space="preserve">AI Lifecycle View — Controls Mapped by Stage</t>
  </si>
  <si>
    <t xml:space="preserve">What Happens</t>
  </si>
  <si>
    <t xml:space="preserve">Key Guardrails / Controls</t>
  </si>
  <si>
    <t xml:space="preserve">1. AI Strategy</t>
  </si>
  <si>
    <t xml:space="preserve">Set AI ambition, risk appetite, governance operating model</t>
  </si>
  <si>
    <t xml:space="preserve">Cl. 4-6 (context, leadership, planning)</t>
  </si>
  <si>
    <t xml:space="preserve">GOVERN 1-4</t>
  </si>
  <si>
    <t xml:space="preserve">Art. 4 (AI literacy)</t>
  </si>
  <si>
    <t xml:space="preserve">Accountability</t>
  </si>
  <si>
    <t xml:space="preserve">Governance charter; risk appetite statement</t>
  </si>
  <si>
    <t xml:space="preserve">2. AI Intake</t>
  </si>
  <si>
    <t xml:space="preserve">Capture request, business case, initial screen</t>
  </si>
  <si>
    <t xml:space="preserve">Cl. 6.1; A.6.2</t>
  </si>
  <si>
    <t xml:space="preserve">MAP 1.1-1.2</t>
  </si>
  <si>
    <t xml:space="preserve">Art. 6 (classification trigger)</t>
  </si>
  <si>
    <t xml:space="preserve">Intake form; shadow-AI discovery</t>
  </si>
  <si>
    <t xml:space="preserve">3. Risk Classification</t>
  </si>
  <si>
    <t xml:space="preserve">Tier the system by risk</t>
  </si>
  <si>
    <t xml:space="preserve">Cl. 6.1</t>
  </si>
  <si>
    <t xml:space="preserve">MAP 1.5, 2.1</t>
  </si>
  <si>
    <t xml:space="preserve">Art. 6 &amp; Annex III</t>
  </si>
  <si>
    <t xml:space="preserve">Fairness (screen)</t>
  </si>
  <si>
    <t xml:space="preserve">Risk classification gate (C-003)</t>
  </si>
  <si>
    <t xml:space="preserve">4. Gap Assessment</t>
  </si>
  <si>
    <t xml:space="preserve">Assess against frameworks; find gaps</t>
  </si>
  <si>
    <t xml:space="preserve">Cl. 9.1-9.2</t>
  </si>
  <si>
    <t xml:space="preserve">All functions</t>
  </si>
  <si>
    <t xml:space="preserve">Art. 9</t>
  </si>
  <si>
    <t xml:space="preserve">All principles</t>
  </si>
  <si>
    <t xml:space="preserve">Gap tabs; controls library</t>
  </si>
  <si>
    <t xml:space="preserve">5. Controls Design</t>
  </si>
  <si>
    <t xml:space="preserve">Select and design controls</t>
  </si>
  <si>
    <t xml:space="preserve">Cl. 8.1; Annex A</t>
  </si>
  <si>
    <t xml:space="preserve">MANAGE 1</t>
  </si>
  <si>
    <t xml:space="preserve">Art. 9(5)</t>
  </si>
  <si>
    <t xml:space="preserve">Human Oversight</t>
  </si>
  <si>
    <t xml:space="preserve">Controls library; guardrail design</t>
  </si>
  <si>
    <t xml:space="preserve">6. Development</t>
  </si>
  <si>
    <t xml:space="preserve">Build model; source &amp; prep data</t>
  </si>
  <si>
    <t xml:space="preserve">Cl. 8.3; A.7</t>
  </si>
  <si>
    <t xml:space="preserve">MAP 2.2</t>
  </si>
  <si>
    <t xml:space="preserve">Art. 10 (data)</t>
  </si>
  <si>
    <t xml:space="preserve">Privacy, Fairness</t>
  </si>
  <si>
    <t xml:space="preserve">Secure-ML; data quality; PII controls</t>
  </si>
  <si>
    <t xml:space="preserve">7. Testing</t>
  </si>
  <si>
    <t xml:space="preserve">Bias, explainability, security, robustness</t>
  </si>
  <si>
    <t xml:space="preserve">Cl. 8.3</t>
  </si>
  <si>
    <t xml:space="preserve">MEASURE 2.x</t>
  </si>
  <si>
    <t xml:space="preserve">Art. 15</t>
  </si>
  <si>
    <t xml:space="preserve">Fairness, Explainability, Security</t>
  </si>
  <si>
    <t xml:space="preserve">Bias test (C-004); adversarial testing</t>
  </si>
  <si>
    <t xml:space="preserve">8. Deployment</t>
  </si>
  <si>
    <t xml:space="preserve">Go/No-Go; release with rollback</t>
  </si>
  <si>
    <t xml:space="preserve">Cl. 8.1</t>
  </si>
  <si>
    <t xml:space="preserve">Art. 43-48 (conformity, CE)</t>
  </si>
  <si>
    <t xml:space="preserve">Approval gate (C-012); rollback; kill switch</t>
  </si>
  <si>
    <t xml:space="preserve">9. Monitoring</t>
  </si>
  <si>
    <t xml:space="preserve">Drift, performance, incidents in production</t>
  </si>
  <si>
    <t xml:space="preserve">Cl. 9.1</t>
  </si>
  <si>
    <t xml:space="preserve">MEASURE 2.12, 3.1; MANAGE 4</t>
  </si>
  <si>
    <t xml:space="preserve">Art. 72 (post-market)</t>
  </si>
  <si>
    <t xml:space="preserve">Reliability</t>
  </si>
  <si>
    <t xml:space="preserve">Drift monitoring (C-007); alerting</t>
  </si>
  <si>
    <t xml:space="preserve">10. Incident Response</t>
  </si>
  <si>
    <t xml:space="preserve">Detect, respond, report incidents</t>
  </si>
  <si>
    <t xml:space="preserve">A.6.2.8</t>
  </si>
  <si>
    <t xml:space="preserve">MANAGE 2.3</t>
  </si>
  <si>
    <t xml:space="preserve">Art. 73 (serious incident)</t>
  </si>
  <si>
    <t xml:space="preserve">IR runbook (C-008); escalation</t>
  </si>
  <si>
    <t xml:space="preserve">11. Audit</t>
  </si>
  <si>
    <t xml:space="preserve">Independent review of the system &amp; program</t>
  </si>
  <si>
    <t xml:space="preserve">Cl. 9.2</t>
  </si>
  <si>
    <t xml:space="preserve">GOVERN 1.5</t>
  </si>
  <si>
    <t xml:space="preserve">Art. 17 (QMS)</t>
  </si>
  <si>
    <t xml:space="preserve">Audit checklists; controls library</t>
  </si>
  <si>
    <t xml:space="preserve">12. Retirement</t>
  </si>
  <si>
    <t xml:space="preserve">Decommission; dispose of data</t>
  </si>
  <si>
    <t xml:space="preserve">A.6.2.6</t>
  </si>
  <si>
    <t xml:space="preserve">MANAGE 1.4</t>
  </si>
  <si>
    <t xml:space="preserve">Art. 12 (records retention)</t>
  </si>
  <si>
    <t xml:space="preserve">Privacy</t>
  </si>
  <si>
    <t xml:space="preserve">Decommissioning process; data disposal</t>
  </si>
  <si>
    <t xml:space="preserve">AI Governance Implementation Roadmap</t>
  </si>
  <si>
    <t xml:space="preserve">Phase</t>
  </si>
  <si>
    <t xml:space="preserve">Deliverable</t>
  </si>
  <si>
    <t xml:space="preserve">Duration</t>
  </si>
  <si>
    <t xml:space="preserve">Dependencies</t>
  </si>
  <si>
    <t xml:space="preserve">Target Date</t>
  </si>
  <si>
    <t xml:space="preserve">Status</t>
  </si>
  <si>
    <t xml:space="preserve">Phase 1 — Governance Foundation</t>
  </si>
  <si>
    <t xml:space="preserve">AI governance charter, policy, committee stood up</t>
  </si>
  <si>
    <t xml:space="preserve">4-6 wks</t>
  </si>
  <si>
    <t xml:space="preserve">Executive sponsorship</t>
  </si>
  <si>
    <t xml:space="preserve">Not Started</t>
  </si>
  <si>
    <t xml:space="preserve">Phase 2 — AI Inventory</t>
  </si>
  <si>
    <t xml:space="preserve">Complete tiered inventory of AI systems</t>
  </si>
  <si>
    <t xml:space="preserve">Model Risk</t>
  </si>
  <si>
    <t xml:space="preserve">4-8 wks</t>
  </si>
  <si>
    <t xml:space="preserve">Phase 1; discovery scan</t>
  </si>
  <si>
    <t xml:space="preserve">Phase 3 — Gap Assessment</t>
  </si>
  <si>
    <t xml:space="preserve">Framework crosswalk assessment for in-scope systems</t>
  </si>
  <si>
    <t xml:space="preserve">6-10 wks</t>
  </si>
  <si>
    <t xml:space="preserve">Phase 2 inventory</t>
  </si>
  <si>
    <t xml:space="preserve">Phase 4 — Controls Design &amp; Build</t>
  </si>
  <si>
    <t xml:space="preserve">Controls library mapped and implemented</t>
  </si>
  <si>
    <t xml:space="preserve">8-12 wks</t>
  </si>
  <si>
    <t xml:space="preserve">Phase 3 gaps</t>
  </si>
  <si>
    <t xml:space="preserve">Phase 5 — Testing &amp; Validation</t>
  </si>
  <si>
    <t xml:space="preserve">Bias, explainability, security testing embedded</t>
  </si>
  <si>
    <t xml:space="preserve">Phase 4 controls</t>
  </si>
  <si>
    <t xml:space="preserve">Phase 6 — Monitoring &amp; Operations</t>
  </si>
  <si>
    <t xml:space="preserve">Drift/performance monitoring and KPIs live</t>
  </si>
  <si>
    <t xml:space="preserve">6-8 wks</t>
  </si>
  <si>
    <t xml:space="preserve">Phase 5; tooling</t>
  </si>
  <si>
    <t xml:space="preserve">Phase 7 — Audit &amp; Continuous Improvement</t>
  </si>
  <si>
    <t xml:space="preserve">First internal audit cycle; PDCA loop</t>
  </si>
  <si>
    <t xml:space="preserve">Ongoing</t>
  </si>
  <si>
    <t xml:space="preserve">Phases 1-6</t>
  </si>
  <si>
    <t xml:space="preserve">Durations are indicative and scale with organization size and AI footprint. Phases can overlap; Phase 7 is continuous.</t>
  </si>
  <si>
    <t xml:space="preserve">AI Governance Stage Gates</t>
  </si>
  <si>
    <t xml:space="preserve">Gate</t>
  </si>
  <si>
    <t xml:space="preserve">Entry Criteria</t>
  </si>
  <si>
    <t xml:space="preserve">Exit Criteria</t>
  </si>
  <si>
    <t xml:space="preserve">Gate Owner</t>
  </si>
  <si>
    <t xml:space="preserve">Key Evidence</t>
  </si>
  <si>
    <t xml:space="preserve">Decision</t>
  </si>
  <si>
    <t xml:space="preserve">G1 — Intake</t>
  </si>
  <si>
    <t xml:space="preserve">Business case submitted; owner assigned</t>
  </si>
  <si>
    <t xml:space="preserve">AI system risk-classified; registered in inventory</t>
  </si>
  <si>
    <t xml:space="preserve">Intake form; risk tier</t>
  </si>
  <si>
    <t xml:space="preserve">G2 — Design</t>
  </si>
  <si>
    <t xml:space="preserve">Risk classification complete</t>
  </si>
  <si>
    <t xml:space="preserve">Architecture reviewed; controls &amp; guardrails identified</t>
  </si>
  <si>
    <t xml:space="preserve">Design doc; control mapping</t>
  </si>
  <si>
    <t xml:space="preserve">G3 — Development</t>
  </si>
  <si>
    <t xml:space="preserve">Controls &amp; data requirements defined</t>
  </si>
  <si>
    <t xml:space="preserve">Model built; documentation &amp; data quality signed off</t>
  </si>
  <si>
    <t xml:space="preserve">Model card; data quality report</t>
  </si>
  <si>
    <t xml:space="preserve">G4 — Testing</t>
  </si>
  <si>
    <t xml:space="preserve">Model build complete</t>
  </si>
  <si>
    <t xml:space="preserve">Bias/explainability/security test evidence complete</t>
  </si>
  <si>
    <t xml:space="preserve">QA</t>
  </si>
  <si>
    <t xml:space="preserve">G5 — Go/No-Go</t>
  </si>
  <si>
    <t xml:space="preserve">Testing complete</t>
  </si>
  <si>
    <t xml:space="preserve">Deployment approved; rollback plan in place</t>
  </si>
  <si>
    <t xml:space="preserve">Approval record; rollback plan</t>
  </si>
  <si>
    <t xml:space="preserve">G6 — Production</t>
  </si>
  <si>
    <t xml:space="preserve">Deployment approved</t>
  </si>
  <si>
    <t xml:space="preserve">Monitoring live; operational handoff complete</t>
  </si>
  <si>
    <t xml:space="preserve">G7 — Periodic Review</t>
  </si>
  <si>
    <t xml:space="preserve">System in production</t>
  </si>
  <si>
    <t xml:space="preserve">Reassessed; continue / remediate / retire decision</t>
  </si>
  <si>
    <t xml:space="preserve">Review record</t>
  </si>
  <si>
    <t xml:space="preserve">Each gate is a formal go/no-go checkpoint. A system cannot proceed to the next stage until exit criteria are met and the gate owner records a decision.</t>
  </si>
  <si>
    <t xml:space="preserve">Framework Mapping Matrix — Why Multiple Frameworks Work Together</t>
  </si>
  <si>
    <t xml:space="preserve">Governance Activity</t>
  </si>
  <si>
    <t xml:space="preserve">Guardrails</t>
  </si>
  <si>
    <t xml:space="preserve">AI Strategy &amp; Governance</t>
  </si>
  <si>
    <t xml:space="preserve">✓</t>
  </si>
  <si>
    <t xml:space="preserve">AI Intake / Registration</t>
  </si>
  <si>
    <t xml:space="preserve">Risk Assessment</t>
  </si>
  <si>
    <t xml:space="preserve">Bias / Fairness Testing</t>
  </si>
  <si>
    <t xml:space="preserve">Explainability</t>
  </si>
  <si>
    <t xml:space="preserve">Security / Robustness</t>
  </si>
  <si>
    <t xml:space="preserve">Privacy / Data Protection</t>
  </si>
  <si>
    <t xml:space="preserve">Testing &amp; Validation</t>
  </si>
  <si>
    <t xml:space="preserve">Deployment / Go-No-Go</t>
  </si>
  <si>
    <t xml:space="preserve">Monitoring / Drift</t>
  </si>
  <si>
    <t xml:space="preserve">Incident Response</t>
  </si>
  <si>
    <t xml:space="preserve">Transparency / Disclosure</t>
  </si>
  <si>
    <t xml:space="preserve">Vendor / Third-Party</t>
  </si>
  <si>
    <t xml:space="preserve">Audit &amp; Assurance</t>
  </si>
  <si>
    <t xml:space="preserve">Retirement / Decommission</t>
  </si>
  <si>
    <t xml:space="preserve">Read across a row to see which frameworks govern each activity. Human Oversight, for example, is required by all — which is why a single-framework approach leaves gaps. This is the rationale for the crosswalk.</t>
  </si>
  <si>
    <t xml:space="preserve">Master Crosswalk &amp; Gap Assessment  —  NIST AI RMF x ISO/IEC 42001 x EU AI Act</t>
  </si>
  <si>
    <t xml:space="preserve">NIST Function</t>
  </si>
  <si>
    <t xml:space="preserve">NIST ID</t>
  </si>
  <si>
    <t xml:space="preserve">Requirement (Paraphrased)</t>
  </si>
  <si>
    <t xml:space="preserve">ISO/IEC 42001 Reference</t>
  </si>
  <si>
    <t xml:space="preserve">EU AI Act Reference</t>
  </si>
  <si>
    <t xml:space="preserve">Current State</t>
  </si>
  <si>
    <t xml:space="preserve">Evidence</t>
  </si>
  <si>
    <t xml:space="preserve">Gap Identified</t>
  </si>
  <si>
    <t xml:space="preserve">Priority</t>
  </si>
  <si>
    <t xml:space="preserve">GOVERN</t>
  </si>
  <si>
    <t xml:space="preserve">1.1</t>
  </si>
  <si>
    <t xml:space="preserve">Legal and regulatory requirements involving AI (incl. sector rules) are identified, tracked, and reflected in policy.</t>
  </si>
  <si>
    <t xml:space="preserve">Clause 4.1/4.2 - Context of the organization</t>
  </si>
  <si>
    <t xml:space="preserve">Art. 2, Art. 6 &amp; Annex III - Scope &amp; classification</t>
  </si>
  <si>
    <t xml:space="preserve">Formal AI regulatory tracker exists; updated quarterly by Compliance</t>
  </si>
  <si>
    <t xml:space="preserve">AI Regulatory Tracker v2.1, Compliance SharePoint</t>
  </si>
  <si>
    <t xml:space="preserve">Tracker does not yet include EU AI Act Annex III triggers for credit scoring</t>
  </si>
  <si>
    <t xml:space="preserve">Add EU AI Act high-risk triggers to tracker; assign Compliance owner</t>
  </si>
  <si>
    <t xml:space="preserve">J. Alvarez, Compliance</t>
  </si>
  <si>
    <t xml:space="preserve">P2</t>
  </si>
  <si>
    <t xml:space="preserve">In Progress</t>
  </si>
  <si>
    <t xml:space="preserve">1.2</t>
  </si>
  <si>
    <t xml:space="preserve">Characteristics of trustworthy AI (valid, reliable, safe, secure, resilient, accountable, transparent, explainable, fair, privacy-enhanced) are embedded into organizational policy and SOPs.</t>
  </si>
  <si>
    <t xml:space="preserve">Clause 5.2 - AI Policy</t>
  </si>
  <si>
    <t xml:space="preserve">Art. 9 - Risk management system</t>
  </si>
  <si>
    <t xml:space="preserve">Responsible AI Principles published; not yet embedded in SDLC checklists</t>
  </si>
  <si>
    <t xml:space="preserve">Responsible AI Policy v1.0</t>
  </si>
  <si>
    <t xml:space="preserve">Policy exists but engineering SDLC checklist has no AI-specific gate</t>
  </si>
  <si>
    <t xml:space="preserve">Add AI trustworthiness gate to SDLC checklist</t>
  </si>
  <si>
    <t xml:space="preserve">M. Chen, Engineering</t>
  </si>
  <si>
    <t xml:space="preserve">P1</t>
  </si>
  <si>
    <t xml:space="preserve">1.3</t>
  </si>
  <si>
    <t xml:space="preserve">AI risk management processes are integrated into system design, development, deployment, evaluation, and decommissioning, calibrated to organizational risk appetite.</t>
  </si>
  <si>
    <t xml:space="preserve">Clause 6.1 - Actions to address risks/opportunities</t>
  </si>
  <si>
    <t xml:space="preserve">AI risk process defined for new model builds only</t>
  </si>
  <si>
    <t xml:space="preserve">Model Risk Policy MRM-014</t>
  </si>
  <si>
    <t xml:space="preserve">No process for AI risk review of vendor/third-party AI tools</t>
  </si>
  <si>
    <t xml:space="preserve">Extend AI risk process to cover third-party AI tools</t>
  </si>
  <si>
    <t xml:space="preserve">R. Osei, Model Risk</t>
  </si>
  <si>
    <t xml:space="preserve">Remediation Planned</t>
  </si>
  <si>
    <t xml:space="preserve">1.4</t>
  </si>
  <si>
    <t xml:space="preserve">Risk management processes and outcomes are documented and made available through transparency mechanisms to relevant internal/external stakeholders.</t>
  </si>
  <si>
    <t xml:space="preserve">Clause 7.5 - Documented information</t>
  </si>
  <si>
    <t xml:space="preserve">Art. 11/12 - Technical documentation &amp; record-keeping</t>
  </si>
  <si>
    <t xml:space="preserve">Governance decisions documented in model risk memos</t>
  </si>
  <si>
    <t xml:space="preserve">MRM committee minutes, Jan-Jun 2026</t>
  </si>
  <si>
    <t xml:space="preserve">Memos not indexed or searchable centrally</t>
  </si>
  <si>
    <t xml:space="preserve">Stand up central documentation repository</t>
  </si>
  <si>
    <t xml:space="preserve">P3</t>
  </si>
  <si>
    <t xml:space="preserve">1.5</t>
  </si>
  <si>
    <t xml:space="preserve">Ongoing monitoring and periodic independent review of the AI risk management process itself is performed, with clear ownership.</t>
  </si>
  <si>
    <t xml:space="preserve">Clause 9.2/9.3 - Internal audit &amp; management review</t>
  </si>
  <si>
    <t xml:space="preserve">Art. 17 - Quality management system</t>
  </si>
  <si>
    <t xml:space="preserve">Internal audit reviews AI models annually</t>
  </si>
  <si>
    <t xml:space="preserve">2025 Internal Audit Plan</t>
  </si>
  <si>
    <t xml:space="preserve">AI risk process itself has not been independently reviewed</t>
  </si>
  <si>
    <t xml:space="preserve">Add AI risk management process to FY27 audit plan</t>
  </si>
  <si>
    <t xml:space="preserve">1.6</t>
  </si>
  <si>
    <t xml:space="preserve">A current inventory of AI systems in use or development is maintained, tiered by risk level, and resourced accordingly.</t>
  </si>
  <si>
    <t xml:space="preserve">Annex A.6.2 - AI system inventory</t>
  </si>
  <si>
    <t xml:space="preserve">Art. 6 &amp; Annex III - High-risk classification</t>
  </si>
  <si>
    <t xml:space="preserve">Partial inventory exists for customer-facing models only</t>
  </si>
  <si>
    <t xml:space="preserve">Model Inventory Q2 2026</t>
  </si>
  <si>
    <t xml:space="preserve">Inventory excludes internal decision-support and vendor AI tools</t>
  </si>
  <si>
    <t xml:space="preserve">Expand inventory to all AI systems org-wide, tiered by risk</t>
  </si>
  <si>
    <t xml:space="preserve">1.7</t>
  </si>
  <si>
    <t xml:space="preserve">Formal processes exist for safe decommissioning and phase-out of AI systems, including data retention/disposal.</t>
  </si>
  <si>
    <t xml:space="preserve">Clause 8.1/Annex A.6.2.6 - Decommissioning</t>
  </si>
  <si>
    <t xml:space="preserve">Art. 12 - Record-keeping</t>
  </si>
  <si>
    <t xml:space="preserve">2.1</t>
  </si>
  <si>
    <t xml:space="preserve">Roles, responsibilities, and communication lines for AI risk mapping/measurement/management are documented and understood by staff.</t>
  </si>
  <si>
    <t xml:space="preserve">Clause 5.3 - Roles, responsibilities &amp; authorities</t>
  </si>
  <si>
    <t xml:space="preserve">Art. 4 - AI literacy / Art. 26 - Deployer obligations</t>
  </si>
  <si>
    <t xml:space="preserve">2.2</t>
  </si>
  <si>
    <t xml:space="preserve">Personnel and teams have the skills, training, and resources needed to fulfill AI governance duties.</t>
  </si>
  <si>
    <t xml:space="preserve">Clause 7.2 - Competence</t>
  </si>
  <si>
    <t xml:space="preserve">Art. 4 - AI literacy obligation</t>
  </si>
  <si>
    <t xml:space="preserve">2.3</t>
  </si>
  <si>
    <t xml:space="preserve">Executive leadership takes explicit accountability for decisions about AI risk and formally accepts residual risk.</t>
  </si>
  <si>
    <t xml:space="preserve">Clause 5.1 - Leadership &amp; commitment</t>
  </si>
  <si>
    <t xml:space="preserve">Art. 26 - Deployer obligations</t>
  </si>
  <si>
    <t xml:space="preserve">3.1</t>
  </si>
  <si>
    <t xml:space="preserve">Decisions on mapping/measuring/managing AI risk draw on demographically and disciplinarily diverse perspectives across the AI lifecycle.</t>
  </si>
  <si>
    <t xml:space="preserve">Clause 7.1 - Resources</t>
  </si>
  <si>
    <t xml:space="preserve">(Best practice - supports Art. 10 bias mitigation)</t>
  </si>
  <si>
    <t xml:space="preserve">3.2</t>
  </si>
  <si>
    <t xml:space="preserve">Policies define and differentiate roles/responsibilities for human-AI teaming configurations and human oversight.</t>
  </si>
  <si>
    <t xml:space="preserve">Annex A.9.2 - Human oversight</t>
  </si>
  <si>
    <t xml:space="preserve">Art. 14 - Human oversight</t>
  </si>
  <si>
    <t xml:space="preserve">4.1</t>
  </si>
  <si>
    <t xml:space="preserve">Organizational risk-management culture treats identification and reporting of AI risk as a shared responsibility, not solely the AI team's.</t>
  </si>
  <si>
    <t xml:space="preserve">4.2</t>
  </si>
  <si>
    <t xml:space="preserve">Policies and practices are in place to test, document, and remediate AI system failures, incidents, and negative impacts as they are identified.</t>
  </si>
  <si>
    <t xml:space="preserve">Annex A.6.2.8 - Incident response</t>
  </si>
  <si>
    <t xml:space="preserve">Art. 73 - Serious incident reporting</t>
  </si>
  <si>
    <t xml:space="preserve">4.3</t>
  </si>
  <si>
    <t xml:space="preserve">Organizational practices reward identification and escalation of AI risk (no retaliation for raising concerns).</t>
  </si>
  <si>
    <t xml:space="preserve">(Best practice)</t>
  </si>
  <si>
    <t xml:space="preserve">5.1</t>
  </si>
  <si>
    <t xml:space="preserve">Processes exist for external stakeholders (customers, regulators, affected individuals) to provide feedback and raise concerns about AI systems.</t>
  </si>
  <si>
    <t xml:space="preserve">Annex A.8 - Information for interested parties</t>
  </si>
  <si>
    <t xml:space="preserve">Art. 13 - Transparency &amp; Art. 85 - Right to complain</t>
  </si>
  <si>
    <t xml:space="preserve">5.2</t>
  </si>
  <si>
    <t xml:space="preserve">Mechanisms allow AI actors to regularly incorporate adjudicated external feedback into system design and operation.</t>
  </si>
  <si>
    <t xml:space="preserve">Annex A.6.2.4 - Feedback loops</t>
  </si>
  <si>
    <t xml:space="preserve">Art. 72 - Post-market monitoring</t>
  </si>
  <si>
    <t xml:space="preserve">6.1</t>
  </si>
  <si>
    <t xml:space="preserve">Policies address AI risks arising from third-party software, data, and pre-trained/foundation models.</t>
  </si>
  <si>
    <t xml:space="preserve">Annex A.10 - Third-party &amp; customer relationships</t>
  </si>
  <si>
    <t xml:space="preserve">Art. 25 - Responsibilities along the AI value chain</t>
  </si>
  <si>
    <t xml:space="preserve">6.2</t>
  </si>
  <si>
    <t xml:space="preserve">Contingency plans exist for high-risk AI systems that depend on third-party components, including vendor failure or discontinuation.</t>
  </si>
  <si>
    <t xml:space="preserve">Annex A.10.3 - Supplier agreements</t>
  </si>
  <si>
    <t xml:space="preserve">Art. 25 - Value chain responsibilities</t>
  </si>
  <si>
    <t xml:space="preserve">MAP</t>
  </si>
  <si>
    <t xml:space="preserve">Business context, intended purpose, and deployment context for each AI system are documented before development begins.</t>
  </si>
  <si>
    <t xml:space="preserve">Clause 4.1 - Context of the organization</t>
  </si>
  <si>
    <t xml:space="preserve">Art. 9(2)(a) - Intended purpose analysis</t>
  </si>
  <si>
    <t xml:space="preserve">An interdisciplinary team (legal, compliance, risk, technical, business) is involved in scoping each AI use case.</t>
  </si>
  <si>
    <t xml:space="preserve">Clause 5.3 - Roles &amp; responsibilities</t>
  </si>
  <si>
    <t xml:space="preserve">Organizational risk tolerance thresholds for AI are defined and approved by leadership before system approval.</t>
  </si>
  <si>
    <t xml:space="preserve">Clause 6.1 - Actions to address risk</t>
  </si>
  <si>
    <t xml:space="preserve">Art. 9(4) - Residual risk acceptability</t>
  </si>
  <si>
    <t xml:space="preserve">Mission, business objectives, and expected benefits of the AI system are documented and linked to risk tolerance.</t>
  </si>
  <si>
    <t xml:space="preserve">Clause 6.2 - AI objectives</t>
  </si>
  <si>
    <t xml:space="preserve">Risk tolerances are consistently applied to each AI system based on its use case, not applied ad hoc.</t>
  </si>
  <si>
    <t xml:space="preserve">Art. 6 - Classification rules</t>
  </si>
  <si>
    <t xml:space="preserve">System requirements (functional, non-functional, data, performance) are elicited from stakeholders and documented.</t>
  </si>
  <si>
    <t xml:space="preserve">Clause 8.2 - AI system impact assessment</t>
  </si>
  <si>
    <t xml:space="preserve">Art. 9(2) - Risk management requirements</t>
  </si>
  <si>
    <t xml:space="preserve">Each AI system is categorized by task type (e.g., classification, generation, scoring) to enable consistent risk treatment.</t>
  </si>
  <si>
    <t xml:space="preserve">Annex A.6.2.2 - System categorization</t>
  </si>
  <si>
    <t xml:space="preserve">Scientific validity and TEVV (test, evaluation, verification, validation) methods appropriate to the AI system's domain are used.</t>
  </si>
  <si>
    <t xml:space="preserve">Clause 8.3 - Data for AI systems</t>
  </si>
  <si>
    <t xml:space="preserve">Art. 15 - Accuracy, robustness</t>
  </si>
  <si>
    <t xml:space="preserve">The scope and boundaries of the AI system's intended application are explicitly defined and version-controlled.</t>
  </si>
  <si>
    <t xml:space="preserve">Annex A.6.2.3 - System description</t>
  </si>
  <si>
    <t xml:space="preserve">Art. 9(2)(a) - Intended purpose</t>
  </si>
  <si>
    <t xml:space="preserve">Potential benefits of the AI system to the organization and end users are identified and documented.</t>
  </si>
  <si>
    <t xml:space="preserve">Potential costs, including downstream/second-order harms, are identified across affected stakeholder groups.</t>
  </si>
  <si>
    <t xml:space="preserve">Art. 27 - Fundamental rights impact assessment</t>
  </si>
  <si>
    <t xml:space="preserve">3.3</t>
  </si>
  <si>
    <t xml:space="preserve">The AI system's actual application scope is compared against its intended scope to detect scope creep.</t>
  </si>
  <si>
    <t xml:space="preserve">Art. 9(2)(a) - Intended purpose monitoring</t>
  </si>
  <si>
    <t xml:space="preserve">3.4</t>
  </si>
  <si>
    <t xml:space="preserve">Processes to operate and mitigate identified risks are documented before go-live.</t>
  </si>
  <si>
    <t xml:space="preserve">Annex A.6.2.5 - Risk treatment</t>
  </si>
  <si>
    <t xml:space="preserve">Art. 9(5) - Risk mitigation measures</t>
  </si>
  <si>
    <t xml:space="preserve">3.5</t>
  </si>
  <si>
    <t xml:space="preserve">Human oversight roles, escalation paths, and override authority are defined for each AI system prior to deployment.</t>
  </si>
  <si>
    <t xml:space="preserve">Legal, technical, and reputational risks tied to third-party AI components are mapped and documented.</t>
  </si>
  <si>
    <t xml:space="preserve">Annex A.10 - Third-party relationships</t>
  </si>
  <si>
    <t xml:space="preserve">Internal controls exist to review and approve third-party AI components before integration.</t>
  </si>
  <si>
    <t xml:space="preserve">Annex A.10.2 - Third-party evaluation</t>
  </si>
  <si>
    <t xml:space="preserve">Likelihood and magnitude of impacts to individuals, groups, and society (incl. disparate impact) are assessed.</t>
  </si>
  <si>
    <t xml:space="preserve">Dedicated practices and personnel are assigned to identify and evaluate negative impacts before they materialize at scale.</t>
  </si>
  <si>
    <t xml:space="preserve">Annex A.5 - Impact assessment on AI systems</t>
  </si>
  <si>
    <t xml:space="preserve">MEASURE</t>
  </si>
  <si>
    <t xml:space="preserve">Approaches and metrics for measuring AI risk (accuracy, fairness, robustness, etc.) are identified and documented per system.</t>
  </si>
  <si>
    <t xml:space="preserve">Art. 15 - Accuracy metrics</t>
  </si>
  <si>
    <t xml:space="preserve">The appropriateness of chosen metrics is periodically evaluated against the system's actual use context.</t>
  </si>
  <si>
    <t xml:space="preserve">Clause 9.1 - Monitoring, measurement, analysis</t>
  </si>
  <si>
    <t xml:space="preserve">Art. 15 - Accuracy, robustness, cybersecurity</t>
  </si>
  <si>
    <t xml:space="preserve">Internal subject-matter experts (not solely the model developers) review measurement approaches for rigor.</t>
  </si>
  <si>
    <t xml:space="preserve">Clause 9.2 - Internal audit</t>
  </si>
  <si>
    <t xml:space="preserve">Test sets, metrics, and validation processes for functional/operational validity are documented and repeatable.</t>
  </si>
  <si>
    <t xml:space="preserve">Art. 15(1) - Accuracy</t>
  </si>
  <si>
    <t xml:space="preserve">AI system performance is evaluated for statistical reliability across representative conditions.</t>
  </si>
  <si>
    <t xml:space="preserve">Art. 15(1) - Robustness</t>
  </si>
  <si>
    <t xml:space="preserve">Resilience and security testing (adversarial robustness, data poisoning, evasion) is performed.</t>
  </si>
  <si>
    <t xml:space="preserve">Annex A.6.2.7 - Security of AI systems</t>
  </si>
  <si>
    <t xml:space="preserve">Art. 15(4)-(5) - Cybersecurity &amp; resilience</t>
  </si>
  <si>
    <t xml:space="preserve">2.4</t>
  </si>
  <si>
    <t xml:space="preserve">Model explainability outputs are evaluated for accuracy and appropriateness to the audience (technical vs. end-user).</t>
  </si>
  <si>
    <t xml:space="preserve">Annex A.6.2.9 - Explainability</t>
  </si>
  <si>
    <t xml:space="preserve">Art. 13 - Transparency &amp; instructions for use</t>
  </si>
  <si>
    <t xml:space="preserve">2.5</t>
  </si>
  <si>
    <t xml:space="preserve">AI system safety is evaluated, including failure mode analysis and worst-case scenario testing.</t>
  </si>
  <si>
    <t xml:space="preserve">Art. 9(2)(b) - Risk estimation</t>
  </si>
  <si>
    <t xml:space="preserve">2.6</t>
  </si>
  <si>
    <t xml:space="preserve">Human-AI configuration is tested to confirm operators can effectively exercise oversight and override.</t>
  </si>
  <si>
    <t xml:space="preserve">Art. 14 - Human oversight effectiveness</t>
  </si>
  <si>
    <t xml:space="preserve">2.7</t>
  </si>
  <si>
    <t xml:space="preserve">Privacy risk is evaluated, including re-identification risk and data minimization compliance.</t>
  </si>
  <si>
    <t xml:space="preserve">Annex A.7 - Data for AI systems</t>
  </si>
  <si>
    <t xml:space="preserve">Art. 10 - Data governance &amp; GDPR interplay</t>
  </si>
  <si>
    <t xml:space="preserve">2.8</t>
  </si>
  <si>
    <t xml:space="preserve">Fairness and bias metrics (e.g., demographic parity, equalized odds, disparate impact ratio) are computed across protected classes.</t>
  </si>
  <si>
    <t xml:space="preserve">Annex A.7.4 - Data quality for AI</t>
  </si>
  <si>
    <t xml:space="preserve">Art. 10(2)(f)-(g) - Bias examination</t>
  </si>
  <si>
    <t xml:space="preserve">2.9</t>
  </si>
  <si>
    <t xml:space="preserve">Environmental impact (compute/energy footprint) of training and inference is estimated for material systems.</t>
  </si>
  <si>
    <t xml:space="preserve">(Best practice - EU AI Act reporting for GPAI)</t>
  </si>
  <si>
    <t xml:space="preserve">2.10</t>
  </si>
  <si>
    <t xml:space="preserve">Data quality (representativeness, completeness, provenance) of training/validation/test data is assessed and documented.</t>
  </si>
  <si>
    <t xml:space="preserve">Annex A.7.2/7.3 - Data quality &amp; provenance</t>
  </si>
  <si>
    <t xml:space="preserve">Art. 10 - Data governance</t>
  </si>
  <si>
    <t xml:space="preserve">2.11</t>
  </si>
  <si>
    <t xml:space="preserve">Privacy-enhancing techniques applied (anonymization, differential privacy, federated learning) are documented and validated.</t>
  </si>
  <si>
    <t xml:space="preserve">Annex A.7.5 - Privacy-enhancing measures</t>
  </si>
  <si>
    <t xml:space="preserve">Art. 10(5) - Special category data safeguards</t>
  </si>
  <si>
    <t xml:space="preserve">2.12</t>
  </si>
  <si>
    <t xml:space="preserve">Model drift/degradation over time is measured against defined performance thresholds.</t>
  </si>
  <si>
    <t xml:space="preserve">Clause 9.1 - Monitoring &amp; measurement</t>
  </si>
  <si>
    <t xml:space="preserve">2.13</t>
  </si>
  <si>
    <t xml:space="preserve">End-user or affected-party experience/satisfaction with the AI system is measured where feasible.</t>
  </si>
  <si>
    <t xml:space="preserve">Art. 13 - Transparency to users</t>
  </si>
  <si>
    <t xml:space="preserve">Processes exist to identify and track emergent/unanticipated risks that surface after deployment.</t>
  </si>
  <si>
    <t xml:space="preserve">Evidence of trustworthy AI characteristics is documented and refreshed on a defined cadence (e.g., quarterly).</t>
  </si>
  <si>
    <t xml:space="preserve">Art. 11 - Technical documentation currency</t>
  </si>
  <si>
    <t xml:space="preserve">Feedback from impacted stakeholders is systematically gathered and factored into risk re-assessment.</t>
  </si>
  <si>
    <t xml:space="preserve">Art. 72 - Post-market monitoring plan</t>
  </si>
  <si>
    <t xml:space="preserve">Measurement approaches themselves are documented so they can be independently reproduced and audited.</t>
  </si>
  <si>
    <t xml:space="preserve">Production monitoring results on AI trustworthiness are reviewed by risk/compliance, not only engineering.</t>
  </si>
  <si>
    <t xml:space="preserve">Clause 9.3 - Management review</t>
  </si>
  <si>
    <t xml:space="preserve">Measurable performance changes (improvement or degradation) trigger a defined re-assessment or retraining process.</t>
  </si>
  <si>
    <t xml:space="preserve">Clause 10.1 - Continual improvement</t>
  </si>
  <si>
    <t xml:space="preserve">MANAGE</t>
  </si>
  <si>
    <t xml:space="preserve">AI risks are prioritized for treatment based on assessed likelihood and severity.</t>
  </si>
  <si>
    <t xml:space="preserve">Art. 9(5) - Risk mitigation prioritization</t>
  </si>
  <si>
    <t xml:space="preserve">Treatment plans (accept/mitigate/transfer/avoid) for documented risks are defined, owned, and tracked to closure.</t>
  </si>
  <si>
    <t xml:space="preserve">Response and recovery plans exist for AI risks that were not anticipated prior to deployment.</t>
  </si>
  <si>
    <t xml:space="preserve">Mechanisms are in place to sustain the value and performance of deployed AI systems over time (retraining, recalibration).</t>
  </si>
  <si>
    <t xml:space="preserve">Adequate resources (budget, staffing, tooling) are allocated to manage AI risk commensurate with system risk tier.</t>
  </si>
  <si>
    <t xml:space="preserve">Art. 17 - Quality management system resourcing</t>
  </si>
  <si>
    <t xml:space="preserve">Mechanisms exist to sustain intended benefits of AI systems while minimizing negative impacts as conditions change.</t>
  </si>
  <si>
    <t xml:space="preserve">Procedures define how AI incidents are communicated internally and, where required, to regulators and affected parties.</t>
  </si>
  <si>
    <t xml:space="preserve">Mechanisms allow AI actors to regularly incorporate adjudicated feedback into ongoing risk management decisions.</t>
  </si>
  <si>
    <t xml:space="preserve">AI risks and benefits arising from third-party entities/components are actively monitored post-integration, not just at onboarding.</t>
  </si>
  <si>
    <t xml:space="preserve">Pre-trained/foundation models used within the organization's AI systems are monitored for upstream changes (e.g., provider model updates).</t>
  </si>
  <si>
    <t xml:space="preserve">Art. 25 &amp; Art. 53 - GPAI provider obligations</t>
  </si>
  <si>
    <t xml:space="preserve">Post-deployment monitoring plans are implemented for every production AI system, with defined KPIs and thresholds.</t>
  </si>
  <si>
    <t xml:space="preserve">Measurable activities for continual improvement of the AI governance program itself are tracked (not just individual models).</t>
  </si>
  <si>
    <t xml:space="preserve">Clause 10.2 - Continual improvement of the AIMS</t>
  </si>
  <si>
    <t xml:space="preserve">Incidents and errors are communicated to all relevant internal AI actors and, where applicable, external authorities within required timeframes.</t>
  </si>
  <si>
    <t xml:space="preserve">Art. 73 - Serious incident reporting (15-day rule)</t>
  </si>
  <si>
    <t xml:space="preserve">EU AI Act — Full Article-Level Assessment (Verified vs. Regulation (EU) 2024/1689)</t>
  </si>
  <si>
    <t xml:space="preserve">Chapter / Group</t>
  </si>
  <si>
    <t xml:space="preserve">Article</t>
  </si>
  <si>
    <t xml:space="preserve">Title</t>
  </si>
  <si>
    <t xml:space="preserve">Applies To</t>
  </si>
  <si>
    <t xml:space="preserve">Requirement Summary (Paraphrased)</t>
  </si>
  <si>
    <t xml:space="preserve">Applicability Date</t>
  </si>
  <si>
    <t xml:space="preserve">Ch.1 General Provisions</t>
  </si>
  <si>
    <t xml:space="preserve">Art. 1</t>
  </si>
  <si>
    <t xml:space="preserve">Subject matter</t>
  </si>
  <si>
    <t xml:space="preserve">All</t>
  </si>
  <si>
    <t xml:space="preserve">Establishes the Regulation's purpose: harmonised rules for AI, promoting trustworthy AI while protecting health, safety, and fundamental rights.</t>
  </si>
  <si>
    <t xml:space="preserve">In force</t>
  </si>
  <si>
    <t xml:space="preserve">Art. 2</t>
  </si>
  <si>
    <t xml:space="preserve">Scope</t>
  </si>
  <si>
    <t xml:space="preserve">Defines who and what the Regulation applies to, including non-EU providers placing systems on the EU market.</t>
  </si>
  <si>
    <t xml:space="preserve">Art. 3</t>
  </si>
  <si>
    <t xml:space="preserve">Definitions</t>
  </si>
  <si>
    <t xml:space="preserve">Defines key terms (AI system, provider, deployer, high-risk, etc.) used throughout the Regulation.</t>
  </si>
  <si>
    <t xml:space="preserve">Art. 4</t>
  </si>
  <si>
    <t xml:space="preserve">AI literacy</t>
  </si>
  <si>
    <t xml:space="preserve">Providers &amp; Deployers</t>
  </si>
  <si>
    <t xml:space="preserve">Requires providers and deployers to ensure staff have sufficient AI literacy to use systems responsibly.</t>
  </si>
  <si>
    <t xml:space="preserve">In force (2 Feb 2025)</t>
  </si>
  <si>
    <t xml:space="preserve">Ch.2 Prohibited Practices</t>
  </si>
  <si>
    <t xml:space="preserve">Art. 5</t>
  </si>
  <si>
    <t xml:space="preserve">Prohibited AI practices</t>
  </si>
  <si>
    <t xml:space="preserve">Bans unacceptable-risk practices: subliminal manipulation, exploiting vulnerabilities, social scoring, certain biometric categorization/inference, and untargeted facial-recognition scraping.</t>
  </si>
  <si>
    <t xml:space="preserve">Ch.3 High-Risk Classification</t>
  </si>
  <si>
    <t xml:space="preserve">Art. 6</t>
  </si>
  <si>
    <t xml:space="preserve">Classification rules for high-risk AI systems</t>
  </si>
  <si>
    <t xml:space="preserve">Providers</t>
  </si>
  <si>
    <t xml:space="preserve">Sets the two-track test for high-risk status: product-safety-linked systems, and the Annex III use-case list.</t>
  </si>
  <si>
    <t xml:space="preserve">Applies 2 Aug 2026</t>
  </si>
  <si>
    <t xml:space="preserve">Art. 7</t>
  </si>
  <si>
    <t xml:space="preserve">Amendments to Annex III</t>
  </si>
  <si>
    <t xml:space="preserve">Commission</t>
  </si>
  <si>
    <t xml:space="preserve">Allows the Commission to update the high-risk use-case list as risks evolve.</t>
  </si>
  <si>
    <t xml:space="preserve">Ch.3 Requirements</t>
  </si>
  <si>
    <t xml:space="preserve">Art. 8</t>
  </si>
  <si>
    <t xml:space="preserve">Compliance with the requirements</t>
  </si>
  <si>
    <t xml:space="preserve">Requires high-risk systems to comply with Section 2 requirements (Art. 9-15), factoring in intended purpose.</t>
  </si>
  <si>
    <t xml:space="preserve">Risk management system</t>
  </si>
  <si>
    <t xml:space="preserve">Requires a continuous, iterative risk-management process across the AI system's lifecycle.</t>
  </si>
  <si>
    <t xml:space="preserve">Art. 10</t>
  </si>
  <si>
    <t xml:space="preserve">Data and data governance</t>
  </si>
  <si>
    <t xml:space="preserve">Requires quality criteria for training/validation/test data, including bias examination and mitigation.</t>
  </si>
  <si>
    <t xml:space="preserve">Art. 11</t>
  </si>
  <si>
    <t xml:space="preserve">Technical documentation</t>
  </si>
  <si>
    <t xml:space="preserve">Requires documentation demonstrating compliance, per Annex IV, kept current throughout the lifecycle.</t>
  </si>
  <si>
    <t xml:space="preserve">Art. 12</t>
  </si>
  <si>
    <t xml:space="preserve">Record-keeping</t>
  </si>
  <si>
    <t xml:space="preserve">Requires automatic event logging capability over the system's lifetime.</t>
  </si>
  <si>
    <t xml:space="preserve">Art. 13</t>
  </si>
  <si>
    <t xml:space="preserve">Transparency and provision of information to deployers</t>
  </si>
  <si>
    <t xml:space="preserve">Requires instructions for use enabling deployers to interpret outputs and use the system appropriately.</t>
  </si>
  <si>
    <t xml:space="preserve">Art. 14</t>
  </si>
  <si>
    <t xml:space="preserve">Human oversight</t>
  </si>
  <si>
    <t xml:space="preserve">Requires design features enabling effective human oversight, including the ability to intervene or halt the system.</t>
  </si>
  <si>
    <t xml:space="preserve">Accuracy, robustness and cybersecurity</t>
  </si>
  <si>
    <t xml:space="preserve">Requires an appropriate level of accuracy, robustness against errors/faults, and resilience to attacks.</t>
  </si>
  <si>
    <t xml:space="preserve">Ch.3 Provider Obligations</t>
  </si>
  <si>
    <t xml:space="preserve">Art. 16</t>
  </si>
  <si>
    <t xml:space="preserve">Obligations of providers of high-risk AI systems</t>
  </si>
  <si>
    <t xml:space="preserve">Consolidates provider duties: compliance, QMS, documentation, conformity assessment, CE marking, registration.</t>
  </si>
  <si>
    <t xml:space="preserve">Art. 17</t>
  </si>
  <si>
    <t xml:space="preserve">Quality management system</t>
  </si>
  <si>
    <t xml:space="preserve">Requires a documented QMS covering the full lifecycle, including regulatory-compliance strategy.</t>
  </si>
  <si>
    <t xml:space="preserve">Art. 18</t>
  </si>
  <si>
    <t xml:space="preserve">Documentation keeping</t>
  </si>
  <si>
    <t xml:space="preserve">Requires retention of technical documentation and QMS records for 10 years after market placement.</t>
  </si>
  <si>
    <t xml:space="preserve">Art. 19</t>
  </si>
  <si>
    <t xml:space="preserve">Automatically generated logs</t>
  </si>
  <si>
    <t xml:space="preserve">Requires retention of logs generated by the high-risk system, where under the provider's control.</t>
  </si>
  <si>
    <t xml:space="preserve">Art. 20</t>
  </si>
  <si>
    <t xml:space="preserve">Corrective actions and duty of information</t>
  </si>
  <si>
    <t xml:space="preserve">Requires providers to take corrective action and notify authorities if a system is found non-compliant.</t>
  </si>
  <si>
    <t xml:space="preserve">Art. 21</t>
  </si>
  <si>
    <t xml:space="preserve">Cooperation with competent authorities</t>
  </si>
  <si>
    <t xml:space="preserve">Requires cooperation with and provision of information to competent authorities on request.</t>
  </si>
  <si>
    <t xml:space="preserve">Ch.3 Deployer Obligations</t>
  </si>
  <si>
    <t xml:space="preserve">Art. 26</t>
  </si>
  <si>
    <t xml:space="preserve">Obligations of deployers of high-risk AI systems</t>
  </si>
  <si>
    <t xml:space="preserve">Deployers</t>
  </si>
  <si>
    <t xml:space="preserve">Requires use per instructions, human oversight assignment, input-data relevance checks, and monitoring for risk.</t>
  </si>
  <si>
    <t xml:space="preserve">Art. 27</t>
  </si>
  <si>
    <t xml:space="preserve">Fundamental rights impact assessment</t>
  </si>
  <si>
    <t xml:space="preserve">Requires a FRIA before use for certain deployers (public bodies, and private operators in banking/insurance/credit-scoring high-risk use cases).</t>
  </si>
  <si>
    <t xml:space="preserve">Ch.3 Conformity</t>
  </si>
  <si>
    <t xml:space="preserve">Art. 43</t>
  </si>
  <si>
    <t xml:space="preserve">Conformity assessment</t>
  </si>
  <si>
    <t xml:space="preserve">Requires internal-control or notified-body conformity assessment depending on the Annex III category.</t>
  </si>
  <si>
    <t xml:space="preserve">Art. 47</t>
  </si>
  <si>
    <t xml:space="preserve">EU declaration of conformity</t>
  </si>
  <si>
    <t xml:space="preserve">Requires a signed declaration that the system meets applicable requirements.</t>
  </si>
  <si>
    <t xml:space="preserve">Art. 48</t>
  </si>
  <si>
    <t xml:space="preserve">CE marking</t>
  </si>
  <si>
    <t xml:space="preserve">Requires visible, permanent (or digital) CE marking, including notified body ID where applicable.</t>
  </si>
  <si>
    <t xml:space="preserve">Art. 49</t>
  </si>
  <si>
    <t xml:space="preserve">Registration</t>
  </si>
  <si>
    <t xml:space="preserve">Providers/Public Deployers</t>
  </si>
  <si>
    <t xml:space="preserve">Requires registration of the high-risk system in the EU database before market placement or use.</t>
  </si>
  <si>
    <t xml:space="preserve">Ch.4 Transparency</t>
  </si>
  <si>
    <t xml:space="preserve">Art. 50</t>
  </si>
  <si>
    <t xml:space="preserve">Transparency obligations for certain AI systems</t>
  </si>
  <si>
    <t xml:space="preserve">Requires disclosure when people interact with AI (chatbots), and labeling of deepfakes/synthetic content.</t>
  </si>
  <si>
    <t xml:space="preserve">Ch.5 GPAI</t>
  </si>
  <si>
    <t xml:space="preserve">Art. 51</t>
  </si>
  <si>
    <t xml:space="preserve">Classification of GPAI models with systemic risk</t>
  </si>
  <si>
    <t xml:space="preserve">Commission/Providers</t>
  </si>
  <si>
    <t xml:space="preserve">Sets criteria (incl. compute thresholds) for classifying a general-purpose AI model as carrying systemic risk.</t>
  </si>
  <si>
    <t xml:space="preserve">In force (2 Aug 2025)</t>
  </si>
  <si>
    <t xml:space="preserve">Art. 53</t>
  </si>
  <si>
    <t xml:space="preserve">Obligations for providers of general-purpose AI models</t>
  </si>
  <si>
    <t xml:space="preserve">GPAI Providers</t>
  </si>
  <si>
    <t xml:space="preserve">Requires technical documentation, copyright-compliance policy, and a training-content summary.</t>
  </si>
  <si>
    <t xml:space="preserve">Art. 55</t>
  </si>
  <si>
    <t xml:space="preserve">Obligations for GPAI models with systemic risk</t>
  </si>
  <si>
    <t xml:space="preserve">Adds model evaluation, systemic-risk assessment/mitigation, incident tracking, and cybersecurity duties.</t>
  </si>
  <si>
    <t xml:space="preserve">Ch.7 Market Surveillance</t>
  </si>
  <si>
    <t xml:space="preserve">Art. 72</t>
  </si>
  <si>
    <t xml:space="preserve">Post-market monitoring by providers</t>
  </si>
  <si>
    <t xml:space="preserve">Requires a post-market monitoring plan and system to actively collect/analyze performance data post-deployment.</t>
  </si>
  <si>
    <t xml:space="preserve">Art. 73</t>
  </si>
  <si>
    <t xml:space="preserve">Reporting of serious incidents</t>
  </si>
  <si>
    <t xml:space="preserve">Providers/Deployers</t>
  </si>
  <si>
    <t xml:space="preserve">Requires reporting serious incidents to market surveillance authorities, generally within 15 days.</t>
  </si>
  <si>
    <t xml:space="preserve">Art. 74</t>
  </si>
  <si>
    <t xml:space="preserve">Market surveillance and control of AI systems</t>
  </si>
  <si>
    <t xml:space="preserve">Authorities</t>
  </si>
  <si>
    <t xml:space="preserve">Empowers national market surveillance authorities to investigate and act on non-compliant AI systems.</t>
  </si>
  <si>
    <t xml:space="preserve">Ch.12 Penalties</t>
  </si>
  <si>
    <t xml:space="preserve">Art. 99</t>
  </si>
  <si>
    <t xml:space="preserve">Penalties</t>
  </si>
  <si>
    <t xml:space="preserve">Sets administrative fine tiers, up to EUR 35m or 7% of global turnover for prohibited-practice breaches.</t>
  </si>
  <si>
    <t xml:space="preserve">Applies 2 Aug 2026 (Art.5 fines from 2 Feb 2025)</t>
  </si>
  <si>
    <t xml:space="preserve">Note: Article titles and numbers verified against Regulation (EU) 2024/1689 (Official Journal, 13 June 2024). Applicability dates reflect the Act's phased entry-into-force schedule as of assessment date.</t>
  </si>
  <si>
    <t xml:space="preserve">ISO/IEC 42001:2023 — Full Clause &amp; Annex A Assessment</t>
  </si>
  <si>
    <t xml:space="preserve">Clause Group</t>
  </si>
  <si>
    <t xml:space="preserve">Sub-Clause / Control</t>
  </si>
  <si>
    <t xml:space="preserve">Topic</t>
  </si>
  <si>
    <t xml:space="preserve">Clause 4</t>
  </si>
  <si>
    <t xml:space="preserve">Understanding the organization and its context</t>
  </si>
  <si>
    <t xml:space="preserve">Identify internal/external issues relevant to the AI management system (AIMS) and its intended outcomes.</t>
  </si>
  <si>
    <t xml:space="preserve">Understanding needs and expectations of interested parties</t>
  </si>
  <si>
    <t xml:space="preserve">Identify interested parties relevant to the AIMS and their requirements.</t>
  </si>
  <si>
    <t xml:space="preserve">Determining the scope of the AIMS</t>
  </si>
  <si>
    <t xml:space="preserve">Define and document the boundaries and applicability of the AIMS.</t>
  </si>
  <si>
    <t xml:space="preserve">4.4</t>
  </si>
  <si>
    <t xml:space="preserve">AI management system</t>
  </si>
  <si>
    <t xml:space="preserve">Establish, implement, maintain, and continually improve the AIMS.</t>
  </si>
  <si>
    <t xml:space="preserve">Clause 5</t>
  </si>
  <si>
    <t xml:space="preserve">Leadership and commitment</t>
  </si>
  <si>
    <t xml:space="preserve">Top management demonstrates leadership and commitment to the AIMS.</t>
  </si>
  <si>
    <t xml:space="preserve">AI policy</t>
  </si>
  <si>
    <t xml:space="preserve">Establish an AI policy appropriate to the organization's purpose.</t>
  </si>
  <si>
    <t xml:space="preserve">5.3</t>
  </si>
  <si>
    <t xml:space="preserve">Roles, responsibilities and authorities</t>
  </si>
  <si>
    <t xml:space="preserve">Assign and communicate responsibilities relevant to the AIMS.</t>
  </si>
  <si>
    <t xml:space="preserve">Clause 6</t>
  </si>
  <si>
    <t xml:space="preserve">Actions to address risks and opportunities</t>
  </si>
  <si>
    <t xml:space="preserve">Plan actions to address risks/opportunities identified for the AIMS, including AI-specific risk assessment.</t>
  </si>
  <si>
    <t xml:space="preserve">AI objectives and planning to achieve them</t>
  </si>
  <si>
    <t xml:space="preserve">Establish measurable AI objectives consistent with the AI policy.</t>
  </si>
  <si>
    <t xml:space="preserve">6.3</t>
  </si>
  <si>
    <t xml:space="preserve">Planning of changes</t>
  </si>
  <si>
    <t xml:space="preserve">Plan changes to the AIMS in a controlled manner.</t>
  </si>
  <si>
    <t xml:space="preserve">Clause 7</t>
  </si>
  <si>
    <t xml:space="preserve">7.1</t>
  </si>
  <si>
    <t xml:space="preserve">Resources</t>
  </si>
  <si>
    <t xml:space="preserve">Determine and provide resources needed for the AIMS.</t>
  </si>
  <si>
    <t xml:space="preserve">7.2</t>
  </si>
  <si>
    <t xml:space="preserve">Competence</t>
  </si>
  <si>
    <t xml:space="preserve">Ensure personnel are competent for their AI-related roles.</t>
  </si>
  <si>
    <t xml:space="preserve">7.3</t>
  </si>
  <si>
    <t xml:space="preserve">Awareness</t>
  </si>
  <si>
    <t xml:space="preserve">Ensure personnel are aware of the AI policy and their contribution to the AIMS.</t>
  </si>
  <si>
    <t xml:space="preserve">7.4</t>
  </si>
  <si>
    <t xml:space="preserve">Communication</t>
  </si>
  <si>
    <t xml:space="preserve">Determine internal/external communications relevant to the AIMS.</t>
  </si>
  <si>
    <t xml:space="preserve">7.5</t>
  </si>
  <si>
    <t xml:space="preserve">Documented information</t>
  </si>
  <si>
    <t xml:space="preserve">Maintain documented information required by the AIMS and this standard.</t>
  </si>
  <si>
    <t xml:space="preserve">Clause 8</t>
  </si>
  <si>
    <t xml:space="preserve">8.1</t>
  </si>
  <si>
    <t xml:space="preserve">Operational planning and control</t>
  </si>
  <si>
    <t xml:space="preserve">Plan, implement, and control processes needed to meet AIMS requirements.</t>
  </si>
  <si>
    <t xml:space="preserve">8.2</t>
  </si>
  <si>
    <t xml:space="preserve">AI system impact assessment</t>
  </si>
  <si>
    <t xml:space="preserve">Assess potential impacts of AI systems on individuals, groups, and society before/during use.</t>
  </si>
  <si>
    <t xml:space="preserve">8.3</t>
  </si>
  <si>
    <t xml:space="preserve">Data for AI systems</t>
  </si>
  <si>
    <t xml:space="preserve">Manage data quality, provenance, and suitability throughout the AI lifecycle.</t>
  </si>
  <si>
    <t xml:space="preserve">8.4</t>
  </si>
  <si>
    <t xml:space="preserve">AI system lifecycle management (if applicable)</t>
  </si>
  <si>
    <t xml:space="preserve">Control design, development, verification, deployment, and decommissioning activities.</t>
  </si>
  <si>
    <t xml:space="preserve">Clause 9</t>
  </si>
  <si>
    <t xml:space="preserve">9.1</t>
  </si>
  <si>
    <t xml:space="preserve">Monitoring, measurement, analysis and evaluation</t>
  </si>
  <si>
    <t xml:space="preserve">Monitor and measure AIMS performance and AI system behavior.</t>
  </si>
  <si>
    <t xml:space="preserve">9.2</t>
  </si>
  <si>
    <t xml:space="preserve">Internal audit</t>
  </si>
  <si>
    <t xml:space="preserve">Conduct internal audits of the AIMS at planned intervals.</t>
  </si>
  <si>
    <t xml:space="preserve">9.3</t>
  </si>
  <si>
    <t xml:space="preserve">Management review</t>
  </si>
  <si>
    <t xml:space="preserve">Top management reviews the AIMS for suitability, adequacy, and effectiveness.</t>
  </si>
  <si>
    <t xml:space="preserve">Clause 10</t>
  </si>
  <si>
    <t xml:space="preserve">10.1</t>
  </si>
  <si>
    <t xml:space="preserve">Continual improvement</t>
  </si>
  <si>
    <t xml:space="preserve">Continually improve the suitability, adequacy, and effectiveness of the AIMS.</t>
  </si>
  <si>
    <t xml:space="preserve">10.2</t>
  </si>
  <si>
    <t xml:space="preserve">Nonconformity and corrective action</t>
  </si>
  <si>
    <t xml:space="preserve">React to nonconformities and take corrective action.</t>
  </si>
  <si>
    <t xml:space="preserve">Annex A.2</t>
  </si>
  <si>
    <t xml:space="preserve">A.2.2 - A.2.4</t>
  </si>
  <si>
    <t xml:space="preserve">Policies related to AI</t>
  </si>
  <si>
    <t xml:space="preserve">Establish policies for responsible AI development/use, and for third-party AI component use.</t>
  </si>
  <si>
    <t xml:space="preserve">Annex A.3</t>
  </si>
  <si>
    <t xml:space="preserve">A.3.2 - A.3.3</t>
  </si>
  <si>
    <t xml:space="preserve">Internal organization</t>
  </si>
  <si>
    <t xml:space="preserve">Define AI-related roles and reporting lines; segregate duties where needed.</t>
  </si>
  <si>
    <t xml:space="preserve">Annex A.4</t>
  </si>
  <si>
    <t xml:space="preserve">A.4.2 - A.4.6</t>
  </si>
  <si>
    <t xml:space="preserve">Resources for AI systems</t>
  </si>
  <si>
    <t xml:space="preserve">Identify and document data, tooling, compute, human, and third-party resources used.</t>
  </si>
  <si>
    <t xml:space="preserve">Annex A.5</t>
  </si>
  <si>
    <t xml:space="preserve">A.5.2 - A.5.5</t>
  </si>
  <si>
    <t xml:space="preserve">Assessing impacts of AI systems</t>
  </si>
  <si>
    <t xml:space="preserve">Assess impact on individuals, groups, and society; document and act on findings.</t>
  </si>
  <si>
    <t xml:space="preserve">Annex A.6</t>
  </si>
  <si>
    <t xml:space="preserve">A.6.2.2 - A.6.2.9</t>
  </si>
  <si>
    <t xml:space="preserve">AI system life cycle</t>
  </si>
  <si>
    <t xml:space="preserve">Control objectives, design/dev requirements, verification &amp; validation, deployment, monitoring, technical documentation, and event logging.</t>
  </si>
  <si>
    <t xml:space="preserve">Annex A.7</t>
  </si>
  <si>
    <t xml:space="preserve">A.7.2 - A.7.6</t>
  </si>
  <si>
    <t xml:space="preserve">Control data acquisition, quality, provenance, and preparation for AI development.</t>
  </si>
  <si>
    <t xml:space="preserve">Annex A.8</t>
  </si>
  <si>
    <t xml:space="preserve">A.8.2 - A.8.4</t>
  </si>
  <si>
    <t xml:space="preserve">Information for interested parties</t>
  </si>
  <si>
    <t xml:space="preserve">Determine methods and content for informing interested parties, including external reporting.</t>
  </si>
  <si>
    <t xml:space="preserve">Annex A.9</t>
  </si>
  <si>
    <t xml:space="preserve">A.9.2 - A.9.3</t>
  </si>
  <si>
    <t xml:space="preserve">Use of AI systems</t>
  </si>
  <si>
    <t xml:space="preserve">Define responsible-use processes and human oversight objectives.</t>
  </si>
  <si>
    <t xml:space="preserve">Annex A.10</t>
  </si>
  <si>
    <t xml:space="preserve">A.10.2 - A.10.4</t>
  </si>
  <si>
    <t xml:space="preserve">Third-party and customer relationships</t>
  </si>
  <si>
    <t xml:space="preserve">Allocate responsibilities with suppliers/customers for AI components and services.</t>
  </si>
  <si>
    <t xml:space="preserve">Note: Clause and Annex A structure reconstructed from ISO/IEC 42001:2023's published table of contents and control-family topics. ISO standard text is copyrighted — verify exact clause wording against your organization's licensed copy before relying on this for a certification audit.</t>
  </si>
  <si>
    <t xml:space="preserve">Detailed Audit Checklist — NIST AI RMF (151 Testable Questions)</t>
  </si>
  <si>
    <t xml:space="preserve">Function</t>
  </si>
  <si>
    <t xml:space="preserve">Subcat.</t>
  </si>
  <si>
    <t xml:space="preserve">Question Type</t>
  </si>
  <si>
    <t xml:space="preserve">Audit Question</t>
  </si>
  <si>
    <t xml:space="preserve">ISO 42001 Ref</t>
  </si>
  <si>
    <t xml:space="preserve">EU AI Act Ref</t>
  </si>
  <si>
    <t xml:space="preserve">Response</t>
  </si>
  <si>
    <t xml:space="preserve">Evidence Reviewed</t>
  </si>
  <si>
    <t xml:space="preserve">Auditor Notes</t>
  </si>
  <si>
    <t xml:space="preserve">Design</t>
  </si>
  <si>
    <t xml:space="preserve">Has the organization ensured that legal and regulatory requirements involving AI (incl. sector rules) are identified, tracked, and reflected in policy?</t>
  </si>
  <si>
    <t xml:space="preserve">Operating Effectiveness</t>
  </si>
  <si>
    <t xml:space="preserve">Can the organization produce evidence (documentation, logs, sign-offs, test results) that this control is functioning in practice, not just documented in policy? [Risk theme: Regulatory]</t>
  </si>
  <si>
    <t xml:space="preserve">Has the organization ensured that characteristics of trustworthy AI (valid, reliable, safe, secure, resilient, accountable, transparent, explainable, fair, privacy-enhanced) are embedded into organizational policy and SOPs?</t>
  </si>
  <si>
    <t xml:space="preserve">Can the organization produce evidence (documentation, logs, sign-offs, test results) that this control is functioning in practice, not just documented in policy? [Risk theme: Trustworthy AI]</t>
  </si>
  <si>
    <t xml:space="preserve">Has the organization ensured that aI risk management processes are integrated into system design, development, deployment, evaluation, and decommissioning, calibrated to organizational risk appetite?</t>
  </si>
  <si>
    <t xml:space="preserve">Can the organization produce evidence (documentation, logs, sign-offs, test results) that this control is functioning in practice, not just documented in policy? [Risk theme: Lifecycle Governance]</t>
  </si>
  <si>
    <t xml:space="preserve">Has the organization ensured that risk management processes and outcomes are documented and made available through transparency mechanisms to relevant internal/external stakeholders?</t>
  </si>
  <si>
    <t xml:space="preserve">Can the organization produce evidence (documentation, logs, sign-offs, test results) that this control is functioning in practice, not just documented in policy? [Risk theme: Transparency]</t>
  </si>
  <si>
    <t xml:space="preserve">Has the organization ensured that ongoing monitoring and periodic independent review of the AI risk management process itself is performed, with clear ownership?</t>
  </si>
  <si>
    <t xml:space="preserve">Can the organization produce evidence (documentation, logs, sign-offs, test results) that this control is functioning in practice, not just documented in policy? [Risk theme: Oversight]</t>
  </si>
  <si>
    <t xml:space="preserve">Has the organization ensured that a current inventory of AI systems in use or development is maintained, tiered by risk level, and resourced accordingly?</t>
  </si>
  <si>
    <t xml:space="preserve">Can the organization produce evidence (documentation, logs, sign-offs, test results) that this control is functioning in practice, not just documented in policy? [Risk theme: AI Inventory]</t>
  </si>
  <si>
    <t xml:space="preserve">Has the organization ensured that formal processes exist for safe decommissioning and phase-out of AI systems, including data retention/disposal?</t>
  </si>
  <si>
    <t xml:space="preserve">Can the organization produce evidence (documentation, logs, sign-offs, test results) that this control is functioning in practice, not just documented in policy? [Risk theme: Decommissioning]</t>
  </si>
  <si>
    <t xml:space="preserve">Has the organization ensured that roles, responsibilities, and communication lines for AI risk mapping/measurement/management are documented and understood by staff?</t>
  </si>
  <si>
    <t xml:space="preserve">Can the organization produce evidence (documentation, logs, sign-offs, test results) that this control is functioning in practice, not just documented in policy? [Risk theme: Accountability]</t>
  </si>
  <si>
    <t xml:space="preserve">Has the organization ensured that personnel and teams have the skills, training, and resources needed to fulfill AI governance duties?</t>
  </si>
  <si>
    <t xml:space="preserve">Can the organization produce evidence (documentation, logs, sign-offs, test results) that this control is functioning in practice, not just documented in policy? [Risk theme: Competence]</t>
  </si>
  <si>
    <t xml:space="preserve">Has the organization ensured that executive leadership takes explicit accountability for decisions about AI risk and formally accepts residual risk?</t>
  </si>
  <si>
    <t xml:space="preserve">Can the organization produce evidence (documentation, logs, sign-offs, test results) that this control is functioning in practice, not just documented in policy? [Risk theme: Executive Accountability]</t>
  </si>
  <si>
    <t xml:space="preserve">Has the organization ensured that decisions on mapping/measuring/managing AI risk draw on demographically and disciplinarily diverse perspectives across the AI lifecycle?</t>
  </si>
  <si>
    <t xml:space="preserve">Can the organization produce evidence (documentation, logs, sign-offs, test results) that this control is functioning in practice, not just documented in policy? [Risk theme: Diversity of Input]</t>
  </si>
  <si>
    <t xml:space="preserve">Has the organization ensured that policies define and differentiate roles/responsibilities for human-AI teaming configurations and human oversight?</t>
  </si>
  <si>
    <t xml:space="preserve">Can the organization produce evidence (documentation, logs, sign-offs, test results) that this control is functioning in practice, not just documented in policy? [Risk theme: Human-AI Configuration]</t>
  </si>
  <si>
    <t xml:space="preserve">Has the organization ensured that organizational risk-management culture treats identification and reporting of AI risk as a shared responsibility, not solely the AI team's?</t>
  </si>
  <si>
    <t xml:space="preserve">Can the organization produce evidence (documentation, logs, sign-offs, test results) that this control is functioning in practice, not just documented in policy? [Risk theme: Risk Culture]</t>
  </si>
  <si>
    <t xml:space="preserve">Has the organization ensured that policies and practices are in place to test, document, and remediate AI system failures, incidents, and negative impacts as they are identified?</t>
  </si>
  <si>
    <t xml:space="preserve">Can the organization produce evidence (documentation, logs, sign-offs, test results) that this control is functioning in practice, not just documented in policy? [Risk theme: Incident Culture]</t>
  </si>
  <si>
    <t xml:space="preserve">Has the organization ensured that organizational practices reward identification and escalation of AI risk (no retaliation for raising concerns)?</t>
  </si>
  <si>
    <t xml:space="preserve">Can the organization produce evidence (documentation, logs, sign-offs, test results) that this control is functioning in practice, not just documented in policy? [Risk theme: Speak-Up Culture]</t>
  </si>
  <si>
    <t xml:space="preserve">Has the organization ensured that processes exist for external stakeholders (customers, regulators, affected individuals) to provide feedback and raise concerns about AI systems?</t>
  </si>
  <si>
    <t xml:space="preserve">Can the organization produce evidence (documentation, logs, sign-offs, test results) that this control is functioning in practice, not just documented in policy? [Risk theme: Stakeholder Engagement]</t>
  </si>
  <si>
    <t xml:space="preserve">Has the organization ensured that mechanisms allow AI actors to regularly incorporate adjudicated external feedback into system design and operation?</t>
  </si>
  <si>
    <t xml:space="preserve">Can the organization produce evidence (documentation, logs, sign-offs, test results) that this control is functioning in practice, not just documented in policy? [Risk theme: Feedback Loop]</t>
  </si>
  <si>
    <t xml:space="preserve">Has the organization ensured that policies address AI risks arising from third-party software, data, and pre-trained/foundation models?</t>
  </si>
  <si>
    <t xml:space="preserve">Can the organization produce evidence (documentation, logs, sign-offs, test results) that this control is functioning in practice, not just documented in policy? [Risk theme: Third-Party Risk]</t>
  </si>
  <si>
    <t xml:space="preserve">Has the organization ensured that contingency plans exist for high-risk AI systems that depend on third-party components, including vendor failure or discontinuation?</t>
  </si>
  <si>
    <t xml:space="preserve">Can the organization produce evidence (documentation, logs, sign-offs, test results) that this control is functioning in practice, not just documented in policy? [Risk theme: Vendor Contingency]</t>
  </si>
  <si>
    <t xml:space="preserve">Has the organization ensured that business context, intended purpose, and deployment context for each AI system are documented before development begins?</t>
  </si>
  <si>
    <t xml:space="preserve">Can the organization produce evidence (documentation, logs, sign-offs, test results) that this control is functioning in practice, not just documented in policy? [Risk theme: Context Setting]</t>
  </si>
  <si>
    <t xml:space="preserve">Has the organization ensured that an interdisciplinary team (legal, compliance, risk, technical, business) is involved in scoping each AI use case?</t>
  </si>
  <si>
    <t xml:space="preserve">Can the organization produce evidence (documentation, logs, sign-offs, test results) that this control is functioning in practice, not just documented in policy? [Risk theme: Cross-Functional Review]</t>
  </si>
  <si>
    <t xml:space="preserve">Has the organization ensured that organizational risk tolerance thresholds for AI are defined and approved by leadership before system approval?</t>
  </si>
  <si>
    <t xml:space="preserve">Can the organization produce evidence (documentation, logs, sign-offs, test results) that this control is functioning in practice, not just documented in policy? [Risk theme: Risk Appetite]</t>
  </si>
  <si>
    <t xml:space="preserve">Has the organization ensured that mission, business objectives, and expected benefits of the AI system are documented and linked to risk tolerance?</t>
  </si>
  <si>
    <t xml:space="preserve">Can the organization produce evidence (documentation, logs, sign-offs, test results) that this control is functioning in practice, not just documented in policy? [Risk theme: Value Alignment]</t>
  </si>
  <si>
    <t xml:space="preserve">Has the organization ensured that risk tolerances are consistently applied to each AI system based on its use case, not applied ad hoc?</t>
  </si>
  <si>
    <t xml:space="preserve">Can the organization produce evidence (documentation, logs, sign-offs, test results) that this control is functioning in practice, not just documented in policy? [Risk theme: Consistency]</t>
  </si>
  <si>
    <t xml:space="preserve">Has the organization ensured that system requirements (functional, non-functional, data, performance) are elicited from stakeholders and documented?</t>
  </si>
  <si>
    <t xml:space="preserve">Can the organization produce evidence (documentation, logs, sign-offs, test results) that this control is functioning in practice, not just documented in policy? [Risk theme: Requirements Definition]</t>
  </si>
  <si>
    <t xml:space="preserve">Has the organization ensured that each AI system is categorized by task type (e.g., classification, generation, scoring) to enable consistent risk treatment?</t>
  </si>
  <si>
    <t xml:space="preserve">Can the organization produce evidence (documentation, logs, sign-offs, test results) that this control is functioning in practice, not just documented in policy? [Risk theme: Use-Case Taxonomy]</t>
  </si>
  <si>
    <t xml:space="preserve">Has the organization ensured that scientific validity and TEVV (test, evaluation, verification, validation) methods appropriate to the AI system's domain are used?</t>
  </si>
  <si>
    <t xml:space="preserve">Can the organization produce evidence (documentation, logs, sign-offs, test results) that this control is functioning in practice, not just documented in policy? [Risk theme: TEVV Rigor]</t>
  </si>
  <si>
    <t xml:space="preserve">Has the organization ensured that the scope and boundaries of the AI system's intended application are explicitly defined and version-controlled?</t>
  </si>
  <si>
    <t xml:space="preserve">Can the organization produce evidence (documentation, logs, sign-offs, test results) that this control is functioning in practice, not just documented in policy? [Risk theme: Scope Boundaries]</t>
  </si>
  <si>
    <t xml:space="preserve">Has the organization ensured that potential benefits of the AI system to the organization and end users are identified and documented?</t>
  </si>
  <si>
    <t xml:space="preserve">Can the organization produce evidence (documentation, logs, sign-offs, test results) that this control is functioning in practice, not just documented in policy? [Risk theme: Benefit Analysis]</t>
  </si>
  <si>
    <t xml:space="preserve">Has the organization ensured that potential costs, including downstream/second-order harms, are identified across affected stakeholder groups?</t>
  </si>
  <si>
    <t xml:space="preserve">Can the organization produce evidence (documentation, logs, sign-offs, test results) that this control is functioning in practice, not just documented in policy? [Risk theme: Impact Analysis]</t>
  </si>
  <si>
    <t xml:space="preserve">Has the organization ensured that the AI system's actual application scope is compared against its intended scope to detect scope creep?</t>
  </si>
  <si>
    <t xml:space="preserve">Can the organization produce evidence (documentation, logs, sign-offs, test results) that this control is functioning in practice, not just documented in policy? [Risk theme: Scope Creep Detection]</t>
  </si>
  <si>
    <t xml:space="preserve">Has the organization ensured that processes to operate and mitigate identified risks are documented before go-live?</t>
  </si>
  <si>
    <t xml:space="preserve">Can the organization produce evidence (documentation, logs, sign-offs, test results) that this control is functioning in practice, not just documented in policy? [Risk theme: Pre-Launch Mitigation]</t>
  </si>
  <si>
    <t xml:space="preserve">Has the organization ensured that human oversight roles, escalation paths, and override authority are defined for each AI system prior to deployment?</t>
  </si>
  <si>
    <t xml:space="preserve">Can the organization produce evidence (documentation, logs, sign-offs, test results) that this control is functioning in practice, not just documented in policy? [Risk theme: Oversight Design]</t>
  </si>
  <si>
    <t xml:space="preserve">Has the organization ensured that legal, technical, and reputational risks tied to third-party AI components are mapped and documented?</t>
  </si>
  <si>
    <t xml:space="preserve">Can the organization produce evidence (documentation, logs, sign-offs, test results) that this control is functioning in practice, not just documented in policy? [Risk theme: Third-Party Mapping]</t>
  </si>
  <si>
    <t xml:space="preserve">Has the organization ensured that internal controls exist to review and approve third-party AI components before integration?</t>
  </si>
  <si>
    <t xml:space="preserve">Can the organization produce evidence (documentation, logs, sign-offs, test results) that this control is functioning in practice, not just documented in policy? [Risk theme: Vendor Due Diligence]</t>
  </si>
  <si>
    <t xml:space="preserve">Has the organization ensured that likelihood and magnitude of impacts to individuals, groups, and society (incl. disparate impact) are assessed?</t>
  </si>
  <si>
    <t xml:space="preserve">Can the organization produce evidence (documentation, logs, sign-offs, test results) that this control is functioning in practice, not just documented in policy? [Risk theme: Societal Impact]</t>
  </si>
  <si>
    <t xml:space="preserve">Has the organization ensured that dedicated practices and personnel are assigned to identify and evaluate negative impacts before they materialize at scale?</t>
  </si>
  <si>
    <t xml:space="preserve">Can the organization produce evidence (documentation, logs, sign-offs, test results) that this control is functioning in practice, not just documented in policy? [Risk theme: Proactive Harm Detection]</t>
  </si>
  <si>
    <t xml:space="preserve">Has the organization ensured that approaches and metrics for measuring AI risk (accuracy, fairness, robustness, etc.) are identified and documented per system?</t>
  </si>
  <si>
    <t xml:space="preserve">Can the organization produce evidence (documentation, logs, sign-offs, test results) that this control is functioning in practice, not just documented in policy? [Risk theme: Metric Selection]</t>
  </si>
  <si>
    <t xml:space="preserve">Has the organization ensured that the appropriateness of chosen metrics is periodically evaluated against the system's actual use context?</t>
  </si>
  <si>
    <t xml:space="preserve">Can the organization produce evidence (documentation, logs, sign-offs, test results) that this control is functioning in practice, not just documented in policy? [Risk theme: Metric Validity]</t>
  </si>
  <si>
    <t xml:space="preserve">Has the organization ensured that internal subject-matter experts (not solely the model developers) review measurement approaches for rigor?</t>
  </si>
  <si>
    <t xml:space="preserve">Can the organization produce evidence (documentation, logs, sign-offs, test results) that this control is functioning in practice, not just documented in policy? [Risk theme: Independent Review]</t>
  </si>
  <si>
    <t xml:space="preserve">Has the organization ensured that test sets, metrics, and validation processes for functional/operational validity are documented and repeatable?</t>
  </si>
  <si>
    <t xml:space="preserve">Can the organization produce evidence (documentation, logs, sign-offs, test results) that this control is functioning in practice, not just documented in policy? [Risk theme: Validity Testing]</t>
  </si>
  <si>
    <t xml:space="preserve">Has the organization ensured that aI system performance is evaluated for statistical reliability across representative conditions?</t>
  </si>
  <si>
    <t xml:space="preserve">Can the organization produce evidence (documentation, logs, sign-offs, test results) that this control is functioning in practice, not just documented in policy? [Risk theme: Reliability Testing]</t>
  </si>
  <si>
    <t xml:space="preserve">Has the organization ensured that resilience and security testing (adversarial robustness, data poisoning, evasion) is performed?</t>
  </si>
  <si>
    <t xml:space="preserve">Can the organization produce evidence (documentation, logs, sign-offs, test results) that this control is functioning in practice, not just documented in policy? [Risk theme: Security Testing]</t>
  </si>
  <si>
    <t xml:space="preserve">Has the organization ensured that model explainability outputs are evaluated for accuracy and appropriateness to the audience (technical vs. end-user)?</t>
  </si>
  <si>
    <t xml:space="preserve">Can the organization produce evidence (documentation, logs, sign-offs, test results) that this control is functioning in practice, not just documented in policy? [Risk theme: Explainability Testing]</t>
  </si>
  <si>
    <t xml:space="preserve">Has the organization ensured that aI system safety is evaluated, including failure mode analysis and worst-case scenario testing?</t>
  </si>
  <si>
    <t xml:space="preserve">Can the organization produce evidence (documentation, logs, sign-offs, test results) that this control is functioning in practice, not just documented in policy? [Risk theme: Safety Testing]</t>
  </si>
  <si>
    <t xml:space="preserve">Has the organization ensured that human-AI configuration is tested to confirm operators can effectively exercise oversight and override?</t>
  </si>
  <si>
    <t xml:space="preserve">Can the organization produce evidence (documentation, logs, sign-offs, test results) that this control is functioning in practice, not just documented in policy? [Risk theme: Human Oversight Testing]</t>
  </si>
  <si>
    <t xml:space="preserve">Has the organization ensured that privacy risk is evaluated, including re-identification risk and data minimization compliance?</t>
  </si>
  <si>
    <t xml:space="preserve">Can the organization produce evidence (documentation, logs, sign-offs, test results) that this control is functioning in practice, not just documented in policy? [Risk theme: Privacy Testing]</t>
  </si>
  <si>
    <t xml:space="preserve">Has the organization ensured that fairness and bias metrics (e.g., demographic parity, equalized odds, disparate impact ratio) are computed across protected classes?</t>
  </si>
  <si>
    <t xml:space="preserve">Can the organization produce evidence (documentation, logs, sign-offs, test results) that this control is functioning in practice, not just documented in policy? [Risk theme: Bias Testing]</t>
  </si>
  <si>
    <t xml:space="preserve">Has the organization ensured that environmental impact (compute/energy footprint) of training and inference is estimated for material systems?</t>
  </si>
  <si>
    <t xml:space="preserve">Can the organization produce evidence (documentation, logs, sign-offs, test results) that this control is functioning in practice, not just documented in policy? [Risk theme: Environmental Impact]</t>
  </si>
  <si>
    <t xml:space="preserve">Has the organization ensured that data quality (representativeness, completeness, provenance) of training/validation/test data is assessed and documented?</t>
  </si>
  <si>
    <t xml:space="preserve">Can the organization produce evidence (documentation, logs, sign-offs, test results) that this control is functioning in practice, not just documented in policy? [Risk theme: Data Quality]</t>
  </si>
  <si>
    <t xml:space="preserve">Has the organization ensured that privacy-enhancing techniques applied (anonymization, differential privacy, federated learning) are documented and validated?</t>
  </si>
  <si>
    <t xml:space="preserve">Can the organization produce evidence (documentation, logs, sign-offs, test results) that this control is functioning in practice, not just documented in policy? [Risk theme: Privacy Techniques]</t>
  </si>
  <si>
    <t xml:space="preserve">Has the organization ensured that model drift/degradation over time is measured against defined performance thresholds?</t>
  </si>
  <si>
    <t xml:space="preserve">Can the organization produce evidence (documentation, logs, sign-offs, test results) that this control is functioning in practice, not just documented in policy? [Risk theme: Drift Monitoring]</t>
  </si>
  <si>
    <t xml:space="preserve">Has the organization ensured that end-user or affected-party experience/satisfaction with the AI system is measured where feasible?</t>
  </si>
  <si>
    <t xml:space="preserve">Can the organization produce evidence (documentation, logs, sign-offs, test results) that this control is functioning in practice, not just documented in policy? [Risk theme: User Experience]</t>
  </si>
  <si>
    <t xml:space="preserve">Has the organization ensured that processes exist to identify and track emergent/unanticipated risks that surface after deployment?</t>
  </si>
  <si>
    <t xml:space="preserve">Can the organization produce evidence (documentation, logs, sign-offs, test results) that this control is functioning in practice, not just documented in policy? [Risk theme: Emergent Risk Tracking]</t>
  </si>
  <si>
    <t xml:space="preserve">Has the organization ensured that evidence of trustworthy AI characteristics is documented and refreshed on a defined cadence (e.g., quarterly)?</t>
  </si>
  <si>
    <t xml:space="preserve">Can the organization produce evidence (documentation, logs, sign-offs, test results) that this control is functioning in practice, not just documented in policy? [Risk theme: Evidence Refresh]</t>
  </si>
  <si>
    <t xml:space="preserve">Has the organization ensured that feedback from impacted stakeholders is systematically gathered and factored into risk re-assessment?</t>
  </si>
  <si>
    <t xml:space="preserve">Can the organization produce evidence (documentation, logs, sign-offs, test results) that this control is functioning in practice, not just documented in policy? [Risk theme: Stakeholder Feedback Loop]</t>
  </si>
  <si>
    <t xml:space="preserve">Has the organization ensured that measurement approaches themselves are documented so they can be independently reproduced and audited?</t>
  </si>
  <si>
    <t xml:space="preserve">Can the organization produce evidence (documentation, logs, sign-offs, test results) that this control is functioning in practice, not just documented in policy? [Risk theme: Reproducibility]</t>
  </si>
  <si>
    <t xml:space="preserve">Has the organization ensured that production monitoring results on AI trustworthiness are reviewed by risk/compliance, not only engineering?</t>
  </si>
  <si>
    <t xml:space="preserve">Can the organization produce evidence (documentation, logs, sign-offs, test results) that this control is functioning in practice, not just documented in policy? [Risk theme: Cross-Functional Monitoring Review]</t>
  </si>
  <si>
    <t xml:space="preserve">Has the organization ensured that measurable performance changes (improvement or degradation) trigger a defined re-assessment or retraining process?</t>
  </si>
  <si>
    <t xml:space="preserve">Can the organization produce evidence (documentation, logs, sign-offs, test results) that this control is functioning in practice, not just documented in policy? [Risk theme: Change-Triggered Reassessment]</t>
  </si>
  <si>
    <t xml:space="preserve">Has the organization ensured that aI risks are prioritized for treatment based on assessed likelihood and severity?</t>
  </si>
  <si>
    <t xml:space="preserve">Can the organization produce evidence (documentation, logs, sign-offs, test results) that this control is functioning in practice, not just documented in policy? [Risk theme: Risk Prioritization]</t>
  </si>
  <si>
    <t xml:space="preserve">Has the organization ensured that treatment plans (accept/mitigate/transfer/avoid) for documented risks are defined, owned, and tracked to closure?</t>
  </si>
  <si>
    <t xml:space="preserve">Can the organization produce evidence (documentation, logs, sign-offs, test results) that this control is functioning in practice, not just documented in policy? [Risk theme: Risk Treatment Tracking]</t>
  </si>
  <si>
    <t xml:space="preserve">Has the organization ensured that response and recovery plans exist for AI risks that were not anticipated prior to deployment?</t>
  </si>
  <si>
    <t xml:space="preserve">Can the organization produce evidence (documentation, logs, sign-offs, test results) that this control is functioning in practice, not just documented in policy? [Risk theme: Unanticipated Risk Response]</t>
  </si>
  <si>
    <t xml:space="preserve">Has the organization ensured that mechanisms are in place to sustain the value and performance of deployed AI systems over time (retraining, recalibration)?</t>
  </si>
  <si>
    <t xml:space="preserve">Can the organization produce evidence (documentation, logs, sign-offs, test results) that this control is functioning in practice, not just documented in policy? [Risk theme: Value Sustainment]</t>
  </si>
  <si>
    <t xml:space="preserve">Has the organization ensured that adequate resources (budget, staffing, tooling) are allocated to manage AI risk commensurate with system risk tier?</t>
  </si>
  <si>
    <t xml:space="preserve">Can the organization produce evidence (documentation, logs, sign-offs, test results) that this control is functioning in practice, not just documented in policy? [Risk theme: Resource Adequacy]</t>
  </si>
  <si>
    <t xml:space="preserve">Has the organization ensured that mechanisms exist to sustain intended benefits of AI systems while minimizing negative impacts as conditions change?</t>
  </si>
  <si>
    <t xml:space="preserve">Can the organization produce evidence (documentation, logs, sign-offs, test results) that this control is functioning in practice, not just documented in policy? [Risk theme: Benefit-Risk Balance]</t>
  </si>
  <si>
    <t xml:space="preserve">Has the organization ensured that procedures define how AI incidents are communicated internally and, where required, to regulators and affected parties?</t>
  </si>
  <si>
    <t xml:space="preserve">Can the organization produce evidence (documentation, logs, sign-offs, test results) that this control is functioning in practice, not just documented in policy? [Risk theme: Incident Communication]</t>
  </si>
  <si>
    <t xml:space="preserve">Has the organization ensured that mechanisms allow AI actors to regularly incorporate adjudicated feedback into ongoing risk management decisions?</t>
  </si>
  <si>
    <t xml:space="preserve">Can the organization produce evidence (documentation, logs, sign-offs, test results) that this control is functioning in practice, not just documented in policy? [Risk theme: Adaptive Risk Management]</t>
  </si>
  <si>
    <t xml:space="preserve">Has the organization ensured that aI risks and benefits arising from third-party entities/components are actively monitored post-integration, not just at onboarding?</t>
  </si>
  <si>
    <t xml:space="preserve">Can the organization produce evidence (documentation, logs, sign-offs, test results) that this control is functioning in practice, not just documented in policy? [Risk theme: Ongoing Vendor Monitoring]</t>
  </si>
  <si>
    <t xml:space="preserve">Has the organization ensured that pre-trained/foundation models used within the organization's AI systems are monitored for upstream changes (e.g., provider model updates)?</t>
  </si>
  <si>
    <t xml:space="preserve">Can the organization produce evidence (documentation, logs, sign-offs, test results) that this control is functioning in practice, not just documented in policy? [Risk theme: Upstream Model Monitoring]</t>
  </si>
  <si>
    <t xml:space="preserve">Has the organization ensured that post-deployment monitoring plans are implemented for every production AI system, with defined KPIs and thresholds?</t>
  </si>
  <si>
    <t xml:space="preserve">Can the organization produce evidence (documentation, logs, sign-offs, test results) that this control is functioning in practice, not just documented in policy? [Risk theme: Post-Deployment Monitoring]</t>
  </si>
  <si>
    <t xml:space="preserve">Has the organization ensured that measurable activities for continual improvement of the AI governance program itself are tracked (not just individual models)?</t>
  </si>
  <si>
    <t xml:space="preserve">Can the organization produce evidence (documentation, logs, sign-offs, test results) that this control is functioning in practice, not just documented in policy? [Risk theme: Program Maturity]</t>
  </si>
  <si>
    <t xml:space="preserve">Has the organization ensured that incidents and errors are communicated to all relevant internal AI actors and, where applicable, external authorities within required timeframes?</t>
  </si>
  <si>
    <t xml:space="preserve">Can the organization produce evidence (documentation, logs, sign-offs, test results) that this control is functioning in practice, not just documented in policy? [Risk theme: Incident Escalation Timeliness]</t>
  </si>
  <si>
    <t xml:space="preserve">Deep-Dive</t>
  </si>
  <si>
    <t xml:space="preserve">Has executive leadership (not just the AI/technical team) formally signed off on accepting residual AI risk for high-risk systems?</t>
  </si>
  <si>
    <t xml:space="preserve">Are human override authority and escalation paths for each AI system documented and known to the operators who would exercise them?</t>
  </si>
  <si>
    <t xml:space="preserve">Has the organization tested, not just designed, that a human operator can meaningfully intervene before an adverse AI decision takes effect?</t>
  </si>
  <si>
    <t xml:space="preserve">Are bias/fairness metrics computed across all legally protected classes relevant to the use case, with results reviewed by someone outside the model-development team?</t>
  </si>
  <si>
    <t xml:space="preserve">Is model drift monitored against a pre-defined threshold that, if breached, automatically triggers a re-assessment or retraining workflow?</t>
  </si>
  <si>
    <t xml:space="preserve">Is there a defined internal escalation timeline for AI incidents, and does it include a path to Legal/Compliance for regulator-facing incidents?</t>
  </si>
  <si>
    <t xml:space="preserve">Has the 'communicate incidents' process been tested (e.g., a tabletop exercise), or does it exist only as an untested policy document?</t>
  </si>
  <si>
    <t xml:space="preserve">Detailed Audit Checklist — EU AI Act (114 Testable Questions)</t>
  </si>
  <si>
    <t xml:space="preserve">Chapter/Group</t>
  </si>
  <si>
    <t xml:space="preserve">Applicability</t>
  </si>
  <si>
    <t xml:space="preserve">Context (Non-Actionable)</t>
  </si>
  <si>
    <t xml:space="preserve">Establishes the Regulation's purpose: harmonised rules for AI, promoting trustworthy AI while protecting health, safety, and fundamental rights. (Definitional/scope article — no standalone compliance action required; relevant only as context for other obligations.)</t>
  </si>
  <si>
    <t xml:space="preserve">Defines who and what the Regulation applies to, including non-EU providers placing systems on the EU market. (Definitional/scope article — no standalone compliance action required; relevant only as context for other obligations.)</t>
  </si>
  <si>
    <t xml:space="preserve">Defines key terms (AI system, provider, deployer, high-risk, etc.) used throughout the Regulation. (Definitional/scope article — no standalone compliance action required; relevant only as context for other obligations.)</t>
  </si>
  <si>
    <t xml:space="preserve">Has the organization implemented controls addressing this obligation under Art. 4: Requires providers and deployers to ensure staff have sufficient AI literacy to use systems responsibly?</t>
  </si>
  <si>
    <t xml:space="preserve">Is there documented evidence (technical documentation, logs, declarations, or records) available to demonstrate compliance with Art. 4, if requested by a market surveillance authority?</t>
  </si>
  <si>
    <t xml:space="preserve">Ownership</t>
  </si>
  <si>
    <t xml:space="preserve">Is a specific role or function accountable for maintaining ongoing compliance with Art. 4 as the applicability date (In force (2 Feb 2025)) approaches or passes?</t>
  </si>
  <si>
    <t xml:space="preserve">Has the organization implemented controls addressing this obligation under Art. 5: Bans unacceptable-risk practices: subliminal manipulation, exploiting vulnerabilities, social scoring, certain biometric categorization/inference, and untargeted facial-recognition scraping?</t>
  </si>
  <si>
    <t xml:space="preserve">Is there documented evidence (technical documentation, logs, declarations, or records) available to demonstrate compliance with Art. 5, if requested by a market surveillance authority?</t>
  </si>
  <si>
    <t xml:space="preserve">Is a specific role or function accountable for maintaining ongoing compliance with Art. 5 as the applicability date (In force (2 Feb 2025)) approaches or passes?</t>
  </si>
  <si>
    <t xml:space="preserve">Has the organization implemented controls addressing this obligation under Art. 6: Sets the two-track test for high-risk status: product-safety-linked systems, and the Annex III use-case list?</t>
  </si>
  <si>
    <t xml:space="preserve">Is there documented evidence (technical documentation, logs, declarations, or records) available to demonstrate compliance with Art. 6, if requested by a market surveillance authority?</t>
  </si>
  <si>
    <t xml:space="preserve">Is a specific role or function accountable for maintaining ongoing compliance with Art. 6 as the applicability date (Applies 2 Aug 2026) approaches or passes?</t>
  </si>
  <si>
    <t xml:space="preserve">Allows the Commission to update the high-risk use-case list as risks evolve. (Definitional/scope article — no standalone compliance action required; relevant only as context for other obligations.)</t>
  </si>
  <si>
    <t xml:space="preserve">Has the organization implemented controls addressing this obligation under Art. 8: Requires high-risk systems to comply with Section 2 requirements (Art. 9-15), factoring in intended purpose?</t>
  </si>
  <si>
    <t xml:space="preserve">Is there documented evidence (technical documentation, logs, declarations, or records) available to demonstrate compliance with Art. 8, if requested by a market surveillance authority?</t>
  </si>
  <si>
    <t xml:space="preserve">Is a specific role or function accountable for maintaining ongoing compliance with Art. 8 as the applicability date (Applies 2 Aug 2026) approaches or passes?</t>
  </si>
  <si>
    <t xml:space="preserve">Has the organization implemented controls addressing this obligation under Art. 9: Requires a continuous, iterative risk-management process across the AI system's lifecycle?</t>
  </si>
  <si>
    <t xml:space="preserve">Is there documented evidence (technical documentation, logs, declarations, or records) available to demonstrate compliance with Art. 9, if requested by a market surveillance authority?</t>
  </si>
  <si>
    <t xml:space="preserve">Is a specific role or function accountable for maintaining ongoing compliance with Art. 9 as the applicability date (Applies 2 Aug 2026) approaches or passes?</t>
  </si>
  <si>
    <t xml:space="preserve">Has the organization implemented controls addressing this obligation under Art. 10: Requires quality criteria for training/validation/test data, including bias examination and mitigation?</t>
  </si>
  <si>
    <t xml:space="preserve">Is there documented evidence (technical documentation, logs, declarations, or records) available to demonstrate compliance with Art. 10, if requested by a market surveillance authority?</t>
  </si>
  <si>
    <t xml:space="preserve">Is a specific role or function accountable for maintaining ongoing compliance with Art. 10 as the applicability date (Applies 2 Aug 2026) approaches or passes?</t>
  </si>
  <si>
    <t xml:space="preserve">Has the organization implemented controls addressing this obligation under Art. 11: Requires documentation demonstrating compliance, per Annex IV, kept current throughout the lifecycle?</t>
  </si>
  <si>
    <t xml:space="preserve">Is there documented evidence (technical documentation, logs, declarations, or records) available to demonstrate compliance with Art. 11, if requested by a market surveillance authority?</t>
  </si>
  <si>
    <t xml:space="preserve">Is a specific role or function accountable for maintaining ongoing compliance with Art. 11 as the applicability date (Applies 2 Aug 2026) approaches or passes?</t>
  </si>
  <si>
    <t xml:space="preserve">Has the organization implemented controls addressing this obligation under Art. 12: Requires automatic event logging capability over the system's lifetime?</t>
  </si>
  <si>
    <t xml:space="preserve">Is there documented evidence (technical documentation, logs, declarations, or records) available to demonstrate compliance with Art. 12, if requested by a market surveillance authority?</t>
  </si>
  <si>
    <t xml:space="preserve">Is a specific role or function accountable for maintaining ongoing compliance with Art. 12 as the applicability date (Applies 2 Aug 2026) approaches or passes?</t>
  </si>
  <si>
    <t xml:space="preserve">Has the organization implemented controls addressing this obligation under Art. 13: Requires instructions for use enabling deployers to interpret outputs and use the system appropriately?</t>
  </si>
  <si>
    <t xml:space="preserve">Is there documented evidence (technical documentation, logs, declarations, or records) available to demonstrate compliance with Art. 13, if requested by a market surveillance authority?</t>
  </si>
  <si>
    <t xml:space="preserve">Is a specific role or function accountable for maintaining ongoing compliance with Art. 13 as the applicability date (Applies 2 Aug 2026) approaches or passes?</t>
  </si>
  <si>
    <t xml:space="preserve">Has the organization implemented controls addressing this obligation under Art. 14: Requires design features enabling effective human oversight, including the ability to intervene or halt the system?</t>
  </si>
  <si>
    <t xml:space="preserve">Is there documented evidence (technical documentation, logs, declarations, or records) available to demonstrate compliance with Art. 14, if requested by a market surveillance authority?</t>
  </si>
  <si>
    <t xml:space="preserve">Is a specific role or function accountable for maintaining ongoing compliance with Art. 14 as the applicability date (Applies 2 Aug 2026) approaches or passes?</t>
  </si>
  <si>
    <t xml:space="preserve">Has the organization implemented controls addressing this obligation under Art. 15: Requires an appropriate level of accuracy, robustness against errors/faults, and resilience to attacks?</t>
  </si>
  <si>
    <t xml:space="preserve">Is there documented evidence (technical documentation, logs, declarations, or records) available to demonstrate compliance with Art. 15, if requested by a market surveillance authority?</t>
  </si>
  <si>
    <t xml:space="preserve">Is a specific role or function accountable for maintaining ongoing compliance with Art. 15 as the applicability date (Applies 2 Aug 2026) approaches or passes?</t>
  </si>
  <si>
    <t xml:space="preserve">Has the organization implemented controls addressing this obligation under Art. 16: Consolidates provider duties: compliance, QMS, documentation, conformity assessment, CE marking, registration?</t>
  </si>
  <si>
    <t xml:space="preserve">Is there documented evidence (technical documentation, logs, declarations, or records) available to demonstrate compliance with Art. 16, if requested by a market surveillance authority?</t>
  </si>
  <si>
    <t xml:space="preserve">Is a specific role or function accountable for maintaining ongoing compliance with Art. 16 as the applicability date (Applies 2 Aug 2026) approaches or passes?</t>
  </si>
  <si>
    <t xml:space="preserve">Has the organization implemented controls addressing this obligation under Art. 17: Requires a documented QMS covering the full lifecycle, including regulatory-compliance strategy?</t>
  </si>
  <si>
    <t xml:space="preserve">Is there documented evidence (technical documentation, logs, declarations, or records) available to demonstrate compliance with Art. 17, if requested by a market surveillance authority?</t>
  </si>
  <si>
    <t xml:space="preserve">Is a specific role or function accountable for maintaining ongoing compliance with Art. 17 as the applicability date (Applies 2 Aug 2026) approaches or passes?</t>
  </si>
  <si>
    <t xml:space="preserve">Has the organization implemented controls addressing this obligation under Art. 18: Requires retention of technical documentation and QMS records for 10 years after market placement?</t>
  </si>
  <si>
    <t xml:space="preserve">Is there documented evidence (technical documentation, logs, declarations, or records) available to demonstrate compliance with Art. 18, if requested by a market surveillance authority?</t>
  </si>
  <si>
    <t xml:space="preserve">Is a specific role or function accountable for maintaining ongoing compliance with Art. 18 as the applicability date (Applies 2 Aug 2026) approaches or passes?</t>
  </si>
  <si>
    <t xml:space="preserve">Has the organization implemented controls addressing this obligation under Art. 19: Requires retention of logs generated by the high-risk system, where under the provider's control?</t>
  </si>
  <si>
    <t xml:space="preserve">Is there documented evidence (technical documentation, logs, declarations, or records) available to demonstrate compliance with Art. 19, if requested by a market surveillance authority?</t>
  </si>
  <si>
    <t xml:space="preserve">Is a specific role or function accountable for maintaining ongoing compliance with Art. 19 as the applicability date (Applies 2 Aug 2026) approaches or passes?</t>
  </si>
  <si>
    <t xml:space="preserve">Has the organization implemented controls addressing this obligation under Art. 20: Requires providers to take corrective action and notify authorities if a system is found non-compliant?</t>
  </si>
  <si>
    <t xml:space="preserve">Is there documented evidence (technical documentation, logs, declarations, or records) available to demonstrate compliance with Art. 20, if requested by a market surveillance authority?</t>
  </si>
  <si>
    <t xml:space="preserve">Is a specific role or function accountable for maintaining ongoing compliance with Art. 20 as the applicability date (Applies 2 Aug 2026) approaches or passes?</t>
  </si>
  <si>
    <t xml:space="preserve">Has the organization implemented controls addressing this obligation under Art. 21: Requires cooperation with and provision of information to competent authorities on request?</t>
  </si>
  <si>
    <t xml:space="preserve">Is there documented evidence (technical documentation, logs, declarations, or records) available to demonstrate compliance with Art. 21, if requested by a market surveillance authority?</t>
  </si>
  <si>
    <t xml:space="preserve">Is a specific role or function accountable for maintaining ongoing compliance with Art. 21 as the applicability date (Applies 2 Aug 2026) approaches or passes?</t>
  </si>
  <si>
    <t xml:space="preserve">Has the organization implemented controls addressing this obligation under Art. 26: Requires use per instructions, human oversight assignment, input-data relevance checks, and monitoring for risk?</t>
  </si>
  <si>
    <t xml:space="preserve">Is there documented evidence (technical documentation, logs, declarations, or records) available to demonstrate compliance with Art. 26, if requested by a market surveillance authority?</t>
  </si>
  <si>
    <t xml:space="preserve">Is a specific role or function accountable for maintaining ongoing compliance with Art. 26 as the applicability date (Applies 2 Aug 2026) approaches or passes?</t>
  </si>
  <si>
    <t xml:space="preserve">Has the organization implemented controls addressing this obligation under Art. 27: Requires a FRIA before use for certain deployers (public bodies, and private operators in banking/insurance/credit-scoring high-risk use cases)?</t>
  </si>
  <si>
    <t xml:space="preserve">Is there documented evidence (technical documentation, logs, declarations, or records) available to demonstrate compliance with Art. 27, if requested by a market surveillance authority?</t>
  </si>
  <si>
    <t xml:space="preserve">Is a specific role or function accountable for maintaining ongoing compliance with Art. 27 as the applicability date (Applies 2 Aug 2026) approaches or passes?</t>
  </si>
  <si>
    <t xml:space="preserve">Has the organization implemented controls addressing this obligation under Art. 43: Requires internal-control or notified-body conformity assessment depending on the Annex III category?</t>
  </si>
  <si>
    <t xml:space="preserve">Is there documented evidence (technical documentation, logs, declarations, or records) available to demonstrate compliance with Art. 43, if requested by a market surveillance authority?</t>
  </si>
  <si>
    <t xml:space="preserve">Is a specific role or function accountable for maintaining ongoing compliance with Art. 43 as the applicability date (Applies 2 Aug 2026) approaches or passes?</t>
  </si>
  <si>
    <t xml:space="preserve">Has the organization implemented controls addressing this obligation under Art. 47: Requires a signed declaration that the system meets applicable requirements?</t>
  </si>
  <si>
    <t xml:space="preserve">Is there documented evidence (technical documentation, logs, declarations, or records) available to demonstrate compliance with Art. 47, if requested by a market surveillance authority?</t>
  </si>
  <si>
    <t xml:space="preserve">Is a specific role or function accountable for maintaining ongoing compliance with Art. 47 as the applicability date (Applies 2 Aug 2026) approaches or passes?</t>
  </si>
  <si>
    <t xml:space="preserve">Has the organization implemented controls addressing this obligation under Art. 48: Requires visible, permanent (or digital) CE marking, including notified body ID where applicable?</t>
  </si>
  <si>
    <t xml:space="preserve">Is there documented evidence (technical documentation, logs, declarations, or records) available to demonstrate compliance with Art. 48, if requested by a market surveillance authority?</t>
  </si>
  <si>
    <t xml:space="preserve">Is a specific role or function accountable for maintaining ongoing compliance with Art. 48 as the applicability date (Applies 2 Aug 2026) approaches or passes?</t>
  </si>
  <si>
    <t xml:space="preserve">Has the organization implemented controls addressing this obligation under Art. 49: Requires registration of the high-risk system in the EU database before market placement or use?</t>
  </si>
  <si>
    <t xml:space="preserve">Is there documented evidence (technical documentation, logs, declarations, or records) available to demonstrate compliance with Art. 49, if requested by a market surveillance authority?</t>
  </si>
  <si>
    <t xml:space="preserve">Is a specific role or function accountable for maintaining ongoing compliance with Art. 49 as the applicability date (Applies 2 Aug 2026) approaches or passes?</t>
  </si>
  <si>
    <t xml:space="preserve">Has the organization implemented controls addressing this obligation under Art. 50: Requires disclosure when people interact with AI (chatbots), and labeling of deepfakes/synthetic content?</t>
  </si>
  <si>
    <t xml:space="preserve">Is there documented evidence (technical documentation, logs, declarations, or records) available to demonstrate compliance with Art. 50, if requested by a market surveillance authority?</t>
  </si>
  <si>
    <t xml:space="preserve">Is a specific role or function accountable for maintaining ongoing compliance with Art. 50 as the applicability date (Applies 2 Aug 2026) approaches or passes?</t>
  </si>
  <si>
    <t xml:space="preserve">Has the organization implemented controls addressing this obligation under Art. 51: Sets criteria (incl. compute thresholds) for classifying a general-purpose AI model as carrying systemic risk?</t>
  </si>
  <si>
    <t xml:space="preserve">Is there documented evidence (technical documentation, logs, declarations, or records) available to demonstrate compliance with Art. 51, if requested by a market surveillance authority?</t>
  </si>
  <si>
    <t xml:space="preserve">Is a specific role or function accountable for maintaining ongoing compliance with Art. 51 as the applicability date (In force (2 Aug 2025)) approaches or passes?</t>
  </si>
  <si>
    <t xml:space="preserve">Has the organization implemented controls addressing this obligation under Art. 53: Requires technical documentation, copyright-compliance policy, and a training-content summary?</t>
  </si>
  <si>
    <t xml:space="preserve">Is there documented evidence (technical documentation, logs, declarations, or records) available to demonstrate compliance with Art. 53, if requested by a market surveillance authority?</t>
  </si>
  <si>
    <t xml:space="preserve">Is a specific role or function accountable for maintaining ongoing compliance with Art. 53 as the applicability date (In force (2 Aug 2025)) approaches or passes?</t>
  </si>
  <si>
    <t xml:space="preserve">Has the organization implemented controls addressing this obligation under Art. 55: Adds model evaluation, systemic-risk assessment/mitigation, incident tracking, and cybersecurity duties?</t>
  </si>
  <si>
    <t xml:space="preserve">Is there documented evidence (technical documentation, logs, declarations, or records) available to demonstrate compliance with Art. 55, if requested by a market surveillance authority?</t>
  </si>
  <si>
    <t xml:space="preserve">Is a specific role or function accountable for maintaining ongoing compliance with Art. 55 as the applicability date (In force (2 Aug 2025)) approaches or passes?</t>
  </si>
  <si>
    <t xml:space="preserve">Has the organization implemented controls addressing this obligation under Art. 72: Requires a post-market monitoring plan and system to actively collect/analyze performance data post-deployment?</t>
  </si>
  <si>
    <t xml:space="preserve">Is there documented evidence (technical documentation, logs, declarations, or records) available to demonstrate compliance with Art. 72, if requested by a market surveillance authority?</t>
  </si>
  <si>
    <t xml:space="preserve">Is a specific role or function accountable for maintaining ongoing compliance with Art. 72 as the applicability date (Applies 2 Aug 2026) approaches or passes?</t>
  </si>
  <si>
    <t xml:space="preserve">Has the organization implemented controls addressing this obligation under Art. 73: Requires reporting serious incidents to market surveillance authorities, generally within 15 days?</t>
  </si>
  <si>
    <t xml:space="preserve">Is there documented evidence (technical documentation, logs, declarations, or records) available to demonstrate compliance with Art. 73, if requested by a market surveillance authority?</t>
  </si>
  <si>
    <t xml:space="preserve">Is a specific role or function accountable for maintaining ongoing compliance with Art. 73 as the applicability date (Applies 2 Aug 2026) approaches or passes?</t>
  </si>
  <si>
    <t xml:space="preserve">Has the organization implemented controls addressing this obligation under Art. 74: Empowers national market surveillance authorities to investigate and act on non-compliant AI systems?</t>
  </si>
  <si>
    <t xml:space="preserve">Is there documented evidence (technical documentation, logs, declarations, or records) available to demonstrate compliance with Art. 74, if requested by a market surveillance authority?</t>
  </si>
  <si>
    <t xml:space="preserve">Is a specific role or function accountable for maintaining ongoing compliance with Art. 74 as the applicability date (Applies 2 Aug 2026) approaches or passes?</t>
  </si>
  <si>
    <t xml:space="preserve">Has the organization implemented controls addressing this obligation under Art. 99: Sets administrative fine tiers, up to EUR 35m or 7% of global turnover for prohibited-practice breaches?</t>
  </si>
  <si>
    <t xml:space="preserve">Is there documented evidence (technical documentation, logs, declarations, or records) available to demonstrate compliance with Art. 99, if requested by a market surveillance authority?</t>
  </si>
  <si>
    <t xml:space="preserve">Is a specific role or function accountable for maintaining ongoing compliance with Art. 99 as the applicability date (Applies 2 Aug 2026 (Art.5 fines from 2 Feb 2025)) approaches or passes?</t>
  </si>
  <si>
    <t xml:space="preserve">Is the risk management process for this system iterative (re-run on material changes), rather than a one-time exercise performed only before launch?</t>
  </si>
  <si>
    <t xml:space="preserve">Has the training/validation/test data been examined for possible bias against groups protected under applicable law, with mitigation steps documented?</t>
  </si>
  <si>
    <t xml:space="preserve">Can a human operator actually override or halt the AI system's output before it takes effect, and is that override logged?</t>
  </si>
  <si>
    <t xml:space="preserve">Have the operators responsible for human oversight been trained specifically on this system's failure modes?</t>
  </si>
  <si>
    <t xml:space="preserve">Are overridden or halted decisions escalated and reviewed, or does the override simply end the interaction with no follow-up?</t>
  </si>
  <si>
    <t xml:space="preserve">Does the deployer verify that input data is relevant to the AI system's intended purpose before use, rather than assuming the provider has already done so?</t>
  </si>
  <si>
    <t xml:space="preserve">Has a Fundamental Rights Impact Assessment actually been completed and documented for this use case, prior to deployment, where required?</t>
  </si>
  <si>
    <t xml:space="preserve">Is the 15-day serious-incident reporting clock understood and assigned to a specific owner, with a tested internal escalation path to that owner?</t>
  </si>
  <si>
    <t xml:space="preserve">Has leadership been briefed on the specific fine exposure (up to EUR 35m / 7% of global turnover for Art. 5 breaches) tied to this system's risk classification?</t>
  </si>
  <si>
    <t xml:space="preserve">Detailed Audit Checklist — ISO/IEC 42001 (104 Testable Questions)</t>
  </si>
  <si>
    <t xml:space="preserve">Sub-Clause</t>
  </si>
  <si>
    <t xml:space="preserve">Has the organization ensured that identify internal/external issues relevant to the AI management system (AIMS) and its intended outcomes?</t>
  </si>
  <si>
    <t xml:space="preserve">Can the organization produce documented information (per Clause 7.5) demonstrating this is implemented, not just described in policy?</t>
  </si>
  <si>
    <t xml:space="preserve">Review</t>
  </si>
  <si>
    <t xml:space="preserve">Has this been covered by internal audit (Clause 9.2) or management review (Clause 9.3) within the last 12 months?</t>
  </si>
  <si>
    <t xml:space="preserve">Has the organization ensured that identify interested parties relevant to the AIMS and their requirements?</t>
  </si>
  <si>
    <t xml:space="preserve">Has the organization ensured that define and document the boundaries and applicability of the AIMS?</t>
  </si>
  <si>
    <t xml:space="preserve">Has the organization ensured that establish, implement, maintain, and continually improve the AIMS?</t>
  </si>
  <si>
    <t xml:space="preserve">Has the organization ensured that top management demonstrates leadership and commitment to the AIMS?</t>
  </si>
  <si>
    <t xml:space="preserve">Has the organization ensured that establish an AI policy appropriate to the organization's purpose?</t>
  </si>
  <si>
    <t xml:space="preserve">Has the organization ensured that assign and communicate responsibilities relevant to the AIMS?</t>
  </si>
  <si>
    <t xml:space="preserve">Has the organization ensured that plan actions to address risks/opportunities identified for the AIMS, including AI-specific risk assessment?</t>
  </si>
  <si>
    <t xml:space="preserve">Has the organization ensured that establish measurable AI objectives consistent with the AI policy?</t>
  </si>
  <si>
    <t xml:space="preserve">Has the organization ensured that plan changes to the AIMS in a controlled manner?</t>
  </si>
  <si>
    <t xml:space="preserve">Has the organization ensured that determine and provide resources needed for the AIMS?</t>
  </si>
  <si>
    <t xml:space="preserve">Has the organization ensured that ensure personnel are competent for their AI-related roles?</t>
  </si>
  <si>
    <t xml:space="preserve">Has the organization ensured that ensure personnel are aware of the AI policy and their contribution to the AIMS?</t>
  </si>
  <si>
    <t xml:space="preserve">Has the organization ensured that determine internal/external communications relevant to the AIMS?</t>
  </si>
  <si>
    <t xml:space="preserve">Has the organization ensured that maintain documented information required by the AIMS and this standard?</t>
  </si>
  <si>
    <t xml:space="preserve">Has the organization ensured that plan, implement, and control processes needed to meet AIMS requirements?</t>
  </si>
  <si>
    <t xml:space="preserve">Has the organization ensured that assess potential impacts of AI systems on individuals, groups, and society before/during use?</t>
  </si>
  <si>
    <t xml:space="preserve">Has the organization ensured that manage data quality, provenance, and suitability throughout the AI lifecycle?</t>
  </si>
  <si>
    <t xml:space="preserve">Has the organization ensured that control design, development, verification, deployment, and decommissioning activities?</t>
  </si>
  <si>
    <t xml:space="preserve">Has the organization ensured that monitor and measure AIMS performance and AI system behavior?</t>
  </si>
  <si>
    <t xml:space="preserve">Has the organization ensured that conduct internal audits of the AIMS at planned intervals?</t>
  </si>
  <si>
    <t xml:space="preserve">Has the organization ensured that top management reviews the AIMS for suitability, adequacy, and effectiveness?</t>
  </si>
  <si>
    <t xml:space="preserve">Has the organization ensured that continually improve the suitability, adequacy, and effectiveness of the AIMS?</t>
  </si>
  <si>
    <t xml:space="preserve">Has the organization ensured that react to nonconformities and take corrective action?</t>
  </si>
  <si>
    <t xml:space="preserve">Has the organization ensured that establish policies for responsible AI development/use, and for third-party AI component use?</t>
  </si>
  <si>
    <t xml:space="preserve">Has the organization ensured that define AI-related roles and reporting lines; segregate duties where needed?</t>
  </si>
  <si>
    <t xml:space="preserve">Has the organization ensured that identify and document data, tooling, compute, human, and third-party resources used?</t>
  </si>
  <si>
    <t xml:space="preserve">Has the organization ensured that assess impact on individuals, groups, and society; document and act on findings?</t>
  </si>
  <si>
    <t xml:space="preserve">Has the organization ensured that control objectives, design/dev requirements, verification &amp; validation, deployment, monitoring, technical documentation, and event logging?</t>
  </si>
  <si>
    <t xml:space="preserve">Has the organization ensured that control data acquisition, quality, provenance, and preparation for AI development?</t>
  </si>
  <si>
    <t xml:space="preserve">Has the organization ensured that determine methods and content for informing interested parties, including external reporting?</t>
  </si>
  <si>
    <t xml:space="preserve">Has the organization ensured that define responsible-use processes and human oversight objectives?</t>
  </si>
  <si>
    <t xml:space="preserve">Has the organization ensured that allocate responsibilities with suppliers/customers for AI components and services?</t>
  </si>
  <si>
    <t xml:space="preserve">Has the AI Policy been formally approved by top management, dated, and version-controlled — or does it exist only in draft?</t>
  </si>
  <si>
    <t xml:space="preserve">Does the AI risk assessment methodology used here match (or explicitly reconcile with) the organization's enterprise risk management framework?</t>
  </si>
  <si>
    <t xml:space="preserve">Was an AI system impact assessment completed and documented BEFORE deployment, not retrospectively after an issue arose?</t>
  </si>
  <si>
    <t xml:space="preserve">Is training/test data provenance and quality documented per system, including where the data originated and how representativeness was checked?</t>
  </si>
  <si>
    <t xml:space="preserve">Has an internal auditor independent of the AI development team reviewed this control within the last audit cycle?</t>
  </si>
  <si>
    <t xml:space="preserve">Responsible AI Principles Checklist</t>
  </si>
  <si>
    <t xml:space="preserve">% Yes/Complete:</t>
  </si>
  <si>
    <t xml:space="preserve">Principle</t>
  </si>
  <si>
    <t xml:space="preserve">Checklist Question</t>
  </si>
  <si>
    <t xml:space="preserve">Notes</t>
  </si>
  <si>
    <t xml:space="preserve">Fairness</t>
  </si>
  <si>
    <t xml:space="preserve">Has the AI system been tested for disparate impact across protected classes, with a defined acceptable-threshold and documented results?</t>
  </si>
  <si>
    <t xml:space="preserve">Is there a remediation process if a fairness metric breaches threshold post-deployment?</t>
  </si>
  <si>
    <t xml:space="preserve">Transparency</t>
  </si>
  <si>
    <t xml:space="preserve">Are end users or affected individuals informed that a decision affecting them was made or assisted by AI?</t>
  </si>
  <si>
    <t xml:space="preserve">Is there a plain-language notice describing what the AI system does and its limitations?</t>
  </si>
  <si>
    <t xml:space="preserve">Can the organization produce a reason code or explanation for an individual adverse AI-assisted decision on request?</t>
  </si>
  <si>
    <t xml:space="preserve">Is the explanation method appropriate to the audience (technical explanation for auditors vs. plain-language for consumers)?</t>
  </si>
  <si>
    <t xml:space="preserve">Is a named individual (not just 'the team') accountable for this AI system's outcomes end-to-end?</t>
  </si>
  <si>
    <t xml:space="preserve">Is that accountability reflected in a job description, RACI, or governance charter?</t>
  </si>
  <si>
    <t xml:space="preserve">Has a privacy impact assessment been completed for personal data used to train or run this system?</t>
  </si>
  <si>
    <t xml:space="preserve">Are privacy-enhancing techniques (minimization, anonymization, differential privacy) applied where feasible?</t>
  </si>
  <si>
    <t xml:space="preserve">Security</t>
  </si>
  <si>
    <t xml:space="preserve">Has the AI system undergone adversarial/security testing appropriate to its risk tier?</t>
  </si>
  <si>
    <t xml:space="preserve">Are model artifacts and training data access-controlled and logged?</t>
  </si>
  <si>
    <t xml:space="preserve">Can a human meaningfully intervene before an adverse decision takes effect, not merely after?</t>
  </si>
  <si>
    <t xml:space="preserve">Have the humans responsible for oversight been trained on this specific system's failure modes?</t>
  </si>
  <si>
    <t xml:space="preserve">Is model performance monitored continuously in production against defined thresholds?</t>
  </si>
  <si>
    <t xml:space="preserve">Is there a documented fallback/degraded-mode procedure if the AI system becomes unavailable or unreliable?</t>
  </si>
  <si>
    <t xml:space="preserve">Inclusiveness</t>
  </si>
  <si>
    <t xml:space="preserve">Has the system been evaluated for accessibility to users with disabilities, where user-facing?</t>
  </si>
  <si>
    <t xml:space="preserve">Have potentially impacted user groups outside the primary target population been identified and considered?</t>
  </si>
  <si>
    <t xml:space="preserve">Guardrails — Foundational Checklist</t>
  </si>
  <si>
    <t xml:space="preserve">Guardrail Layer</t>
  </si>
  <si>
    <t xml:space="preserve">Input Guardrails</t>
  </si>
  <si>
    <t xml:space="preserve">Is there prompt-injection / adversarial-input protection for any generative AI system accepting free-text input?</t>
  </si>
  <si>
    <t xml:space="preserve">Is PII in inbound requests detected and handled per data policy before reaching the model?</t>
  </si>
  <si>
    <t xml:space="preserve">Is uploaded file content (if applicable) validated for type, size, and malicious content before processing?</t>
  </si>
  <si>
    <t xml:space="preserve">Is there rate limiting to prevent abuse or unintended scale of use?</t>
  </si>
  <si>
    <t xml:space="preserve">Model Guardrails</t>
  </si>
  <si>
    <t xml:space="preserve">Is there a toxicity/harmful-content filter appropriate to the system's audience?</t>
  </si>
  <si>
    <t xml:space="preserve">Are confidence thresholds defined below which the system defers to a human rather than auto-deciding?</t>
  </si>
  <si>
    <t xml:space="preserve">Is there a safety classifier or secondary check layer for high-stakes outputs?</t>
  </si>
  <si>
    <t xml:space="preserve">Output Guardrails</t>
  </si>
  <si>
    <t xml:space="preserve">For generative outputs used in decisions, are citations or source references required and checked?</t>
  </si>
  <si>
    <t xml:space="preserve">Is there a hallucination/factuality check appropriate to the use case's risk level?</t>
  </si>
  <si>
    <t xml:space="preserve">Is outbound content moderated before being shown to end users or used downstream?</t>
  </si>
  <si>
    <t xml:space="preserve">Is PII masked or redacted in outputs where appropriate?</t>
  </si>
  <si>
    <t xml:space="preserve">Operational Guardrails</t>
  </si>
  <si>
    <t xml:space="preserve">Is access to the AI system and its administration console governed by role-based access control (RBAC)?</t>
  </si>
  <si>
    <t xml:space="preserve">Is system usage and decision activity logged in a way that supports later audit or incident investigation?</t>
  </si>
  <si>
    <t xml:space="preserve">Is there active monitoring/alerting for anomalous system behavior?</t>
  </si>
  <si>
    <t xml:space="preserve">Is there a tested kill-switch or fast-disable capability for this system?</t>
  </si>
  <si>
    <t xml:space="preserve">Are incident alerts routed to a specific on-call owner with a defined response SLA?</t>
  </si>
  <si>
    <t xml:space="preserve">AI Technical Guardrails — Input / Model / Output / Operational (36 Controls)</t>
  </si>
  <si>
    <t xml:space="preserve">Input — Prompt injection detection</t>
  </si>
  <si>
    <t xml:space="preserve">Are inbound prompts screened for injection/jailbreak patterns before reaching the model?</t>
  </si>
  <si>
    <t xml:space="preserve">Input — Prompt/input validation</t>
  </si>
  <si>
    <t xml:space="preserve">Is free-text input validated against expected format, length, and schema before processing?</t>
  </si>
  <si>
    <t xml:space="preserve">Input — PII detection on input</t>
  </si>
  <si>
    <t xml:space="preserve">Is inbound PII detected and handled per data policy before it reaches the model or is logged?</t>
  </si>
  <si>
    <t xml:space="preserve">Input — Malware / file scanning</t>
  </si>
  <si>
    <t xml:space="preserve">Are uploaded files scanned for malware before processing?</t>
  </si>
  <si>
    <t xml:space="preserve">Input — File type &amp; size validation</t>
  </si>
  <si>
    <t xml:space="preserve">Are uploaded files validated for allowed type, size, and structure?</t>
  </si>
  <si>
    <t xml:space="preserve">Input — Injection protection (SQL/command)</t>
  </si>
  <si>
    <t xml:space="preserve">Where AI output feeds downstream systems, is it sanitized against SQL/command injection?</t>
  </si>
  <si>
    <t xml:space="preserve">Input — Rate limiting / throttling</t>
  </si>
  <si>
    <t xml:space="preserve">Is per-user and per-system rate limiting enforced to prevent abuse or runaway cost?</t>
  </si>
  <si>
    <t xml:space="preserve">Input — Input provenance / source authentication</t>
  </si>
  <si>
    <t xml:space="preserve">Is the source of inbound requests authenticated so anonymous or spoofed traffic is controlled?</t>
  </si>
  <si>
    <t xml:space="preserve">Input — Context/grounding data validation</t>
  </si>
  <si>
    <t xml:space="preserve">For RAG systems, is retrieved context validated for freshness and authorization before use?</t>
  </si>
  <si>
    <t xml:space="preserve">Model — Safety classifier</t>
  </si>
  <si>
    <t xml:space="preserve">Is a safety/harm classifier applied to model behavior appropriate to the audience?</t>
  </si>
  <si>
    <t xml:space="preserve">Model — Confidence threshold gating</t>
  </si>
  <si>
    <t xml:space="preserve">Below a defined confidence threshold, does the system defer to a human rather than auto-decide?</t>
  </si>
  <si>
    <t xml:space="preserve">Model — Hallucination / factuality check</t>
  </si>
  <si>
    <t xml:space="preserve">Is there a factuality or grounding check for generative outputs used in decisions?</t>
  </si>
  <si>
    <t xml:space="preserve">Model — Toxicity detection</t>
  </si>
  <si>
    <t xml:space="preserve">Is generated content screened for toxic/abusive language before release?</t>
  </si>
  <si>
    <t xml:space="preserve">Model — Bias monitoring (runtime)</t>
  </si>
  <si>
    <t xml:space="preserve">Is model output monitored at runtime for bias drift across protected groups?</t>
  </si>
  <si>
    <t xml:space="preserve">Model — Prompt/response length limits</t>
  </si>
  <si>
    <t xml:space="preserve">Are input and output length limits enforced to control cost and manipulation surface?</t>
  </si>
  <si>
    <t xml:space="preserve">Model — Model version pinning</t>
  </si>
  <si>
    <t xml:space="preserve">Is the exact model version serving production traffic pinned and known, not silently updated by a vendor?</t>
  </si>
  <si>
    <t xml:space="preserve">Model — Adversarial robustness testing</t>
  </si>
  <si>
    <t xml:space="preserve">Has the model been tested against adversarial inputs appropriate to its risk tier?</t>
  </si>
  <si>
    <t xml:space="preserve">Model — Temperature / determinism controls</t>
  </si>
  <si>
    <t xml:space="preserve">For high-stakes decisions, are sampling parameters constrained for reproducibility?</t>
  </si>
  <si>
    <t xml:space="preserve">Output — Citation / source verification</t>
  </si>
  <si>
    <t xml:space="preserve">For outputs used in decisions, are citations required and verified against the source?</t>
  </si>
  <si>
    <t xml:space="preserve">Output — Content moderation on output</t>
  </si>
  <si>
    <t xml:space="preserve">Is outbound content moderated before being shown to users or used downstream?</t>
  </si>
  <si>
    <t xml:space="preserve">Output — PII masking / redaction</t>
  </si>
  <si>
    <t xml:space="preserve">Is PII masked or redacted in outputs where the recipient is not authorized to see it?</t>
  </si>
  <si>
    <t xml:space="preserve">Output — Sensitive-data filtering</t>
  </si>
  <si>
    <t xml:space="preserve">Are outputs filtered to prevent leakage of confidential/regulated data?</t>
  </si>
  <si>
    <t xml:space="preserve">Output — Response confidence disclosure</t>
  </si>
  <si>
    <t xml:space="preserve">Where appropriate, is model uncertainty surfaced to the user rather than hidden?</t>
  </si>
  <si>
    <t xml:space="preserve">Output — Human-in-the-loop approval</t>
  </si>
  <si>
    <t xml:space="preserve">For high-stakes actions, is human approval required before the output takes effect?</t>
  </si>
  <si>
    <t xml:space="preserve">Output — Output format / schema enforcement</t>
  </si>
  <si>
    <t xml:space="preserve">Is output constrained to an expected schema to prevent malformed downstream actions?</t>
  </si>
  <si>
    <t xml:space="preserve">Output — Refusal / safe-completion handling</t>
  </si>
  <si>
    <t xml:space="preserve">Does the system have defined safe behavior when it should decline (vs. guessing)?</t>
  </si>
  <si>
    <t xml:space="preserve">Operational — Role-based access control (RBAC)</t>
  </si>
  <si>
    <t xml:space="preserve">Is access to the AI system and its admin console governed by RBAC?</t>
  </si>
  <si>
    <t xml:space="preserve">Operational — Audit logging</t>
  </si>
  <si>
    <t xml:space="preserve">Is system usage and decision activity logged to support later audit/investigation?</t>
  </si>
  <si>
    <t xml:space="preserve">Operational — Real-time monitoring &amp; alerting</t>
  </si>
  <si>
    <t xml:space="preserve">Is there active monitoring/alerting for anomalous behavior or performance degradation?</t>
  </si>
  <si>
    <t xml:space="preserve">Operational — SIEM integration</t>
  </si>
  <si>
    <t xml:space="preserve">Are AI system security events fed into the enterprise SIEM?</t>
  </si>
  <si>
    <t xml:space="preserve">Operational — Kill switch / fast disable</t>
  </si>
  <si>
    <t xml:space="preserve">Is there a tested kill-switch or fast-disable capability for the system?</t>
  </si>
  <si>
    <t xml:space="preserve">Operational — Incident response runbook</t>
  </si>
  <si>
    <t xml:space="preserve">Is there an AI-specific incident response runbook with defined roles and SLAs?</t>
  </si>
  <si>
    <t xml:space="preserve">Operational — Rollback capability</t>
  </si>
  <si>
    <t xml:space="preserve">Can the system be rolled back to a prior known-good model/config quickly?</t>
  </si>
  <si>
    <t xml:space="preserve">Operational — Cost / usage anomaly detection</t>
  </si>
  <si>
    <t xml:space="preserve">Is abnormal usage or cost spike detected and alerted?</t>
  </si>
  <si>
    <t xml:space="preserve">Operational — Change management / approval</t>
  </si>
  <si>
    <t xml:space="preserve">Are changes to models/prompts/config subject to change control and approval?</t>
  </si>
  <si>
    <t xml:space="preserve">Operational — Segregation of duties</t>
  </si>
  <si>
    <t xml:space="preserve">Are development, approval, and production-deployment duties segregated?</t>
  </si>
  <si>
    <t xml:space="preserve">Note: Controls reflect current AI/LLM guardrail practice. Applicability depends on system type — a traditional ML scoring model won't need prompt-injection controls; a generative system will. Mark non-applicable controls 'N/A' with a note.</t>
  </si>
  <si>
    <t xml:space="preserve">GenAI &amp; Agentic AI — Specific Controls</t>
  </si>
  <si>
    <t xml:space="preserve">Control Question</t>
  </si>
  <si>
    <t xml:space="preserve">Prompt Security</t>
  </si>
  <si>
    <t xml:space="preserve">Is prompt-injection detection applied to all free-text inputs?</t>
  </si>
  <si>
    <t xml:space="preserve">Is jailbreak/guardrail-bypass detection in place?</t>
  </si>
  <si>
    <t xml:space="preserve">Is sensitive-prompt detection applied (e.g., attempts to extract secrets or PII)?</t>
  </si>
  <si>
    <t xml:space="preserve">Are prompts logged for audit and abuse investigation (with privacy controls)?</t>
  </si>
  <si>
    <t xml:space="preserve">Context / Grounding</t>
  </si>
  <si>
    <t xml:space="preserve">For RAG, is retrieved context validated for authorization and freshness before use?</t>
  </si>
  <si>
    <t xml:space="preserve">Is retrieval grounding enforced so responses cite approved sources?</t>
  </si>
  <si>
    <t xml:space="preserve">Are context-window limits enforced to control cost and manipulation surface?</t>
  </si>
  <si>
    <t xml:space="preserve">Output Integrity</t>
  </si>
  <si>
    <t xml:space="preserve">Is citation/source verification performed on generative outputs used in decisions?</t>
  </si>
  <si>
    <t xml:space="preserve">Is hallucination/factuality checking applied appropriate to risk?</t>
  </si>
  <si>
    <t xml:space="preserve">Is output content moderated before reaching users or downstream systems?</t>
  </si>
  <si>
    <t xml:space="preserve">Model Routing</t>
  </si>
  <si>
    <t xml:space="preserve">Is model routing governed (which model serves which use case) with approval?</t>
  </si>
  <si>
    <t xml:space="preserve">Is there fallback behavior if the primary model is unavailable or low-confidence?</t>
  </si>
  <si>
    <t xml:space="preserve">Agentic Controls</t>
  </si>
  <si>
    <t xml:space="preserve">Are tool/function permissions scoped to least-privilege for agentic systems?</t>
  </si>
  <si>
    <t xml:space="preserve">Is human approval required before an agent takes high-impact actions?</t>
  </si>
  <si>
    <t xml:space="preserve">Are agent action chains logged and reviewable end-to-end?</t>
  </si>
  <si>
    <t xml:space="preserve">Are loop/iteration limits enforced to prevent runaway agent behavior?</t>
  </si>
  <si>
    <t xml:space="preserve">Cost &amp; Abuse</t>
  </si>
  <si>
    <t xml:space="preserve">Is per-user/per-system rate limiting enforced for GenAI endpoints?</t>
  </si>
  <si>
    <t xml:space="preserve">Is anomalous usage/cost spike detected and alerted?</t>
  </si>
  <si>
    <t xml:space="preserve">Note: Applies to generative and agentic AI systems. Mark 'N/A' for traditional ML systems where a control doesn't apply.</t>
  </si>
  <si>
    <t xml:space="preserve">Data Governance for AI (15 Controls)</t>
  </si>
  <si>
    <t xml:space="preserve">Data Domain</t>
  </si>
  <si>
    <t xml:space="preserve">Data Quality</t>
  </si>
  <si>
    <t xml:space="preserve">Is training/production data quality (accuracy, completeness, representativeness) monitored on an ongoing basis, not just at build time?</t>
  </si>
  <si>
    <t xml:space="preserve">Are data quality thresholds defined, with alerts when breached?</t>
  </si>
  <si>
    <t xml:space="preserve">Data Lineage</t>
  </si>
  <si>
    <t xml:space="preserve">Is end-to-end data lineage documented from source through to model training and inference?</t>
  </si>
  <si>
    <t xml:space="preserve">Can the organization trace which dataset version trained a given production model?</t>
  </si>
  <si>
    <t xml:space="preserve">Metadata Management</t>
  </si>
  <si>
    <t xml:space="preserve">Is metadata (source, collection date, schema, sensitivity) maintained for datasets used in AI?</t>
  </si>
  <si>
    <t xml:space="preserve">PII / Sensitive Data</t>
  </si>
  <si>
    <t xml:space="preserve">Is personal and sensitive data classified and tracked wherever it flows through AI pipelines?</t>
  </si>
  <si>
    <t xml:space="preserve">Are special-category / regulated data types subject to additional controls before AI use?</t>
  </si>
  <si>
    <t xml:space="preserve">Consent &amp; Lawful Basis</t>
  </si>
  <si>
    <t xml:space="preserve">Where personal data is used, is there a documented lawful basis or consent record?</t>
  </si>
  <si>
    <t xml:space="preserve">Can consent withdrawal be honored in training/inference data where required?</t>
  </si>
  <si>
    <t xml:space="preserve">Retention &amp; Disposal</t>
  </si>
  <si>
    <t xml:space="preserve">Are data retention and secure-disposal schedules defined and enforced for AI data?</t>
  </si>
  <si>
    <t xml:space="preserve">Feature Store Governance</t>
  </si>
  <si>
    <t xml:space="preserve">Is the feature store (if used) governed for access, versioning, and quality?</t>
  </si>
  <si>
    <t xml:space="preserve">Data Ownership</t>
  </si>
  <si>
    <t xml:space="preserve">Is a data owner assigned for each dataset feeding a production AI system?</t>
  </si>
  <si>
    <t xml:space="preserve">Data Contracts</t>
  </si>
  <si>
    <t xml:space="preserve">Are data contracts (schema, SLA, quality guarantees) defined between data producers and AI consumers?</t>
  </si>
  <si>
    <t xml:space="preserve">Data Access Control</t>
  </si>
  <si>
    <t xml:space="preserve">Is access to training and inference data governed by least-privilege and logged?</t>
  </si>
  <si>
    <t xml:space="preserve">Data Residency</t>
  </si>
  <si>
    <t xml:space="preserve">Is data residency for AI processing confirmed against applicable regulatory requirements?</t>
  </si>
  <si>
    <t xml:space="preserve">Model Governance &amp; Model Risk (14 Controls)</t>
  </si>
  <si>
    <t xml:space="preserve">Model Domain</t>
  </si>
  <si>
    <t xml:space="preserve">Model Cards</t>
  </si>
  <si>
    <t xml:space="preserve">Does each production model have a model card documenting purpose, data, performance, and limitations?</t>
  </si>
  <si>
    <t xml:space="preserve">Model Registry / Inventory</t>
  </si>
  <si>
    <t xml:space="preserve">Is there a central model registry covering all production AI systems with risk tier?</t>
  </si>
  <si>
    <t xml:space="preserve">Does the registry include third-party / vendor and embedded models, not just in-house builds?</t>
  </si>
  <si>
    <t xml:space="preserve">Version Control</t>
  </si>
  <si>
    <t xml:space="preserve">Is model version control in place, identifying exactly which version produced a given decision?</t>
  </si>
  <si>
    <t xml:space="preserve">Champion / Challenger</t>
  </si>
  <si>
    <t xml:space="preserve">Is there a champion/challenger or A-B process before promoting a new model version?</t>
  </si>
  <si>
    <t xml:space="preserve">Model Approval</t>
  </si>
  <si>
    <t xml:space="preserve">Is there a formal go/no-go approval gate before a model enters production?</t>
  </si>
  <si>
    <t xml:space="preserve">Independent Validation</t>
  </si>
  <si>
    <t xml:space="preserve">Are models independently validated (conceptual soundness, ongoing monitoring, outcomes analysis) by a party separate from the developer?</t>
  </si>
  <si>
    <t xml:space="preserve">Drift Thresholds</t>
  </si>
  <si>
    <t xml:space="preserve">Are performance/drift thresholds defined that trigger revalidation or retraining?</t>
  </si>
  <si>
    <t xml:space="preserve">Retraining</t>
  </si>
  <si>
    <t xml:space="preserve">Is retraining governed by a defined cadence or trigger rather than ad hoc?</t>
  </si>
  <si>
    <t xml:space="preserve">Model Monitoring</t>
  </si>
  <si>
    <t xml:space="preserve">Is production model performance monitored continuously against defined KPIs?</t>
  </si>
  <si>
    <t xml:space="preserve">Model Documentation</t>
  </si>
  <si>
    <t xml:space="preserve">Is model development documentation sufficient for an independent reviewer to reproduce and challenge it?</t>
  </si>
  <si>
    <t xml:space="preserve">Model Retirement</t>
  </si>
  <si>
    <t xml:space="preserve">Is there a documented model retirement/decommissioning process, including data disposal?</t>
  </si>
  <si>
    <t xml:space="preserve">Effective Challenge</t>
  </si>
  <si>
    <t xml:space="preserve">Is there evidence of effective challenge — qualified reviewers with authority to require changes?</t>
  </si>
  <si>
    <t xml:space="preserve">Third-Party Model Risk</t>
  </si>
  <si>
    <t xml:space="preserve">Are vendor/third-party models validated to the same standard as in-house models ('we bought it' is not a defense)?</t>
  </si>
  <si>
    <t xml:space="preserve">Note: Independent validation and effective-challenge concepts align with model risk management practice (SR 11-7 baseline in US banking; ECB/EBA and PRA equivalents elsewhere).</t>
  </si>
  <si>
    <t xml:space="preserve">AI System Development Lifecycle — Controls by Phase (14 Controls)</t>
  </si>
  <si>
    <t xml:space="preserve">Lifecycle Phase</t>
  </si>
  <si>
    <t xml:space="preserve">Intake</t>
  </si>
  <si>
    <t xml:space="preserve">Is there a formal AI intake process capturing business case, intended use, and initial risk screen?</t>
  </si>
  <si>
    <t xml:space="preserve">Are shadow/unregistered AI systems actively detected and brought into the intake process?</t>
  </si>
  <si>
    <t xml:space="preserve">Is a risk assessment (incl. high-risk classification) completed at design stage before build?</t>
  </si>
  <si>
    <t xml:space="preserve">Are human-oversight and guardrail requirements defined at design, not bolted on later?</t>
  </si>
  <si>
    <t xml:space="preserve">Are secure-coding and secure-ML practices applied during development?</t>
  </si>
  <si>
    <t xml:space="preserve">Is training data sourced, documented, and quality-checked during development?</t>
  </si>
  <si>
    <t xml:space="preserve">Is bias/fairness tested before deployment, across relevant protected groups?</t>
  </si>
  <si>
    <t xml:space="preserve">Is explainability validated before deployment for the intended audience?</t>
  </si>
  <si>
    <t xml:space="preserve">Is adversarial/security testing performed appropriate to risk tier?</t>
  </si>
  <si>
    <t xml:space="preserve">Is there a formal go/no-go deployment gate with documented sign-off?</t>
  </si>
  <si>
    <t xml:space="preserve">Is a rollback plan defined and tested before production release?</t>
  </si>
  <si>
    <t xml:space="preserve">Production</t>
  </si>
  <si>
    <t xml:space="preserve">Is the system monitored in production for drift, performance, and incidents?</t>
  </si>
  <si>
    <t xml:space="preserve">Are guardrails verified as active in production, not just designed?</t>
  </si>
  <si>
    <t xml:space="preserve">Is there a decommissioning process covering data disposal and stakeholder notice?</t>
  </si>
  <si>
    <t xml:space="preserve">AI Program Management — Governance, RAID &amp; KPIs (14 Controls)</t>
  </si>
  <si>
    <t xml:space="preserve">Program Area</t>
  </si>
  <si>
    <t xml:space="preserve">Is there an AI governance steering committee with defined membership and cadence?</t>
  </si>
  <si>
    <t xml:space="preserve">Are steering-committee decisions documented and tracked to closure?</t>
  </si>
  <si>
    <t xml:space="preserve">RACI</t>
  </si>
  <si>
    <t xml:space="preserve">Is a RACI defined and current for AI governance roles across the organization?</t>
  </si>
  <si>
    <t xml:space="preserve">Risks (RAID)</t>
  </si>
  <si>
    <t xml:space="preserve">Is an AI program RISK log maintained, with owners and mitigation status?</t>
  </si>
  <si>
    <t xml:space="preserve">Assumptions (RAID)</t>
  </si>
  <si>
    <t xml:space="preserve">Are key program ASSUMPTIONS documented and periodically validated?</t>
  </si>
  <si>
    <t xml:space="preserve">Issues (RAID)</t>
  </si>
  <si>
    <t xml:space="preserve">Is an ISSUE log maintained for active problems, with owners and due dates?</t>
  </si>
  <si>
    <t xml:space="preserve">Dependencies (RAID)</t>
  </si>
  <si>
    <t xml:space="preserve">Are cross-team and vendor DEPENDENCIES tracked with status?</t>
  </si>
  <si>
    <t xml:space="preserve">Milestones</t>
  </si>
  <si>
    <t xml:space="preserve">Are program milestones defined with target dates and status?</t>
  </si>
  <si>
    <t xml:space="preserve">Budget</t>
  </si>
  <si>
    <t xml:space="preserve">Is AI governance program budget tracked against plan?</t>
  </si>
  <si>
    <t xml:space="preserve">Benefits Realization</t>
  </si>
  <si>
    <t xml:space="preserve">Are expected benefits defined and measured post-implementation?</t>
  </si>
  <si>
    <t xml:space="preserve">KPIs</t>
  </si>
  <si>
    <t xml:space="preserve">Are AI governance KPIs tracked and reported to leadership on a cadence?</t>
  </si>
  <si>
    <t xml:space="preserve">Audit Schedule</t>
  </si>
  <si>
    <t xml:space="preserve">Is there an audit schedule specifically covering AI systems?</t>
  </si>
  <si>
    <t xml:space="preserve">Exception Management</t>
  </si>
  <si>
    <t xml:space="preserve">Is there an exception process for controls that can't yet be met, with compensating controls and review dates?</t>
  </si>
  <si>
    <t xml:space="preserve">Training &amp; Literacy</t>
  </si>
  <si>
    <t xml:space="preserve">Is role-appropriate AI governance/literacy training delivered and tracked?</t>
  </si>
  <si>
    <t xml:space="preserve">AI System Inventory</t>
  </si>
  <si>
    <t xml:space="preserve">AI System ID</t>
  </si>
  <si>
    <t xml:space="preserve">Model Name</t>
  </si>
  <si>
    <t xml:space="preserve">Business Owner</t>
  </si>
  <si>
    <t xml:space="preserve">Technical Owner</t>
  </si>
  <si>
    <t xml:space="preserve">Business Criticality</t>
  </si>
  <si>
    <t xml:space="preserve">Data Classification</t>
  </si>
  <si>
    <t xml:space="preserve">LLM/ML Type</t>
  </si>
  <si>
    <t xml:space="preserve">Model Version</t>
  </si>
  <si>
    <t xml:space="preserve">Vendor / In-House</t>
  </si>
  <si>
    <t xml:space="preserve">Environment</t>
  </si>
  <si>
    <t xml:space="preserve">Risk Tier</t>
  </si>
  <si>
    <t xml:space="preserve">Last Review</t>
  </si>
  <si>
    <t xml:space="preserve">Next Review</t>
  </si>
  <si>
    <t xml:space="preserve">Frameworks Applicable</t>
  </si>
  <si>
    <t xml:space="preserve">AI-001</t>
  </si>
  <si>
    <t xml:space="preserve">Credit Decisioning Model</t>
  </si>
  <si>
    <t xml:space="preserve">Head of Lending</t>
  </si>
  <si>
    <t xml:space="preserve">Lead Data Scientist</t>
  </si>
  <si>
    <t xml:space="preserve">Confidential</t>
  </si>
  <si>
    <t xml:space="preserve">Gradient Boosting</t>
  </si>
  <si>
    <t xml:space="preserve">v3.2</t>
  </si>
  <si>
    <t xml:space="preserve">In-House</t>
  </si>
  <si>
    <t xml:space="preserve">Live</t>
  </si>
  <si>
    <t xml:space="preserve">2026-03-15</t>
  </si>
  <si>
    <t xml:space="preserve">2026-09-15</t>
  </si>
  <si>
    <t xml:space="preserve">NIST; ISO 42001; EU Annex III</t>
  </si>
  <si>
    <t xml:space="preserve">AI-002</t>
  </si>
  <si>
    <t xml:space="preserve">Fraud Detection Engine</t>
  </si>
  <si>
    <t xml:space="preserve">Head of Fraud</t>
  </si>
  <si>
    <t xml:space="preserve">ML Platform Team</t>
  </si>
  <si>
    <t xml:space="preserve">Ensemble + rules</t>
  </si>
  <si>
    <t xml:space="preserve">v5.0</t>
  </si>
  <si>
    <t xml:space="preserve">2026-02-01</t>
  </si>
  <si>
    <t xml:space="preserve">2026-08-01</t>
  </si>
  <si>
    <t xml:space="preserve">NIST; ISO 42001; SR 11-7</t>
  </si>
  <si>
    <t xml:space="preserve">AI-003</t>
  </si>
  <si>
    <t xml:space="preserve">Customer Service Chatbot</t>
  </si>
  <si>
    <t xml:space="preserve">Head of CX</t>
  </si>
  <si>
    <t xml:space="preserve">Conversational AI Team</t>
  </si>
  <si>
    <t xml:space="preserve">Internal</t>
  </si>
  <si>
    <t xml:space="preserve">LLM (vendor API)</t>
  </si>
  <si>
    <t xml:space="preserve">2026-Q2</t>
  </si>
  <si>
    <t xml:space="preserve">Vendor</t>
  </si>
  <si>
    <t xml:space="preserve">Limited</t>
  </si>
  <si>
    <t xml:space="preserve">2026-04-10</t>
  </si>
  <si>
    <t xml:space="preserve">2026-07-10</t>
  </si>
  <si>
    <t xml:space="preserve">NIST; EU Art.50; GenAI</t>
  </si>
  <si>
    <t xml:space="preserve">AI Risk Register</t>
  </si>
  <si>
    <t xml:space="preserve">Risk ID</t>
  </si>
  <si>
    <t xml:space="preserve">Risk Description</t>
  </si>
  <si>
    <t xml:space="preserve">Likelihood (1-5)</t>
  </si>
  <si>
    <t xml:space="preserve">Impact (1-5)</t>
  </si>
  <si>
    <t xml:space="preserve">Inherent Risk</t>
  </si>
  <si>
    <t xml:space="preserve">Mitigation / Control</t>
  </si>
  <si>
    <t xml:space="preserve">Residual Risk</t>
  </si>
  <si>
    <t xml:space="preserve">R-001</t>
  </si>
  <si>
    <t xml:space="preserve">Credit model produces disparate outcomes across protected classes</t>
  </si>
  <si>
    <t xml:space="preserve">Fairness/Bias</t>
  </si>
  <si>
    <t xml:space="preserve">3</t>
  </si>
  <si>
    <t xml:space="preserve">5</t>
  </si>
  <si>
    <t xml:space="preserve">Quarterly disparate-impact testing; threshold gating</t>
  </si>
  <si>
    <t xml:space="preserve">Open</t>
  </si>
  <si>
    <t xml:space="preserve">R-002</t>
  </si>
  <si>
    <t xml:space="preserve">GenAI chatbot hallucinates policy terms to customers</t>
  </si>
  <si>
    <t xml:space="preserve">4</t>
  </si>
  <si>
    <t xml:space="preserve">Grounding to approved KB; disclaimer; human escalation</t>
  </si>
  <si>
    <t xml:space="preserve">CX / AI Governance</t>
  </si>
  <si>
    <t xml:space="preserve">R-003</t>
  </si>
  <si>
    <t xml:space="preserve">Vendor model updated without notice, changing behavior</t>
  </si>
  <si>
    <t xml:space="preserve">Third-Party</t>
  </si>
  <si>
    <t xml:space="preserve">Version pinning; contractual change-notice; monitoring</t>
  </si>
  <si>
    <t xml:space="preserve">Vendor Mgmt</t>
  </si>
  <si>
    <t xml:space="preserve">Mitigating</t>
  </si>
  <si>
    <t xml:space="preserve">R-004</t>
  </si>
  <si>
    <t xml:space="preserve">AI system inventory incomplete (shadow AI)</t>
  </si>
  <si>
    <t xml:space="preserve">Governance</t>
  </si>
  <si>
    <t xml:space="preserve">Discovery scan; intake mandate; attestation</t>
  </si>
  <si>
    <t xml:space="preserve">R-005</t>
  </si>
  <si>
    <t xml:space="preserve">Personal data used without documented lawful basis</t>
  </si>
  <si>
    <t xml:space="preserve">2</t>
  </si>
  <si>
    <t xml:space="preserve">DPIA; consent/lawful-basis register; DPO review</t>
  </si>
  <si>
    <t xml:space="preserve">DPO / Legal</t>
  </si>
  <si>
    <t xml:space="preserve">AI Incident Register</t>
  </si>
  <si>
    <t xml:space="preserve">Incident ID</t>
  </si>
  <si>
    <t xml:space="preserve">Date</t>
  </si>
  <si>
    <t xml:space="preserve">AI System</t>
  </si>
  <si>
    <t xml:space="preserve">Type</t>
  </si>
  <si>
    <t xml:space="preserve">Description</t>
  </si>
  <si>
    <t xml:space="preserve">Severity</t>
  </si>
  <si>
    <t xml:space="preserve">Root Cause</t>
  </si>
  <si>
    <t xml:space="preserve">Remediation</t>
  </si>
  <si>
    <t xml:space="preserve">INC-001</t>
  </si>
  <si>
    <t xml:space="preserve">2026-05-20</t>
  </si>
  <si>
    <t xml:space="preserve">Customer Chatbot</t>
  </si>
  <si>
    <t xml:space="preserve">Hallucination</t>
  </si>
  <si>
    <t xml:space="preserve">Bot stated incorrect fee waiver policy to customers</t>
  </si>
  <si>
    <t xml:space="preserve">Ungrounded response; KB gap</t>
  </si>
  <si>
    <t xml:space="preserve">Added grounding to approved KB; disclaimer</t>
  </si>
  <si>
    <t xml:space="preserve">CX/AI Gov</t>
  </si>
  <si>
    <t xml:space="preserve">Closed</t>
  </si>
  <si>
    <t xml:space="preserve">INC-002</t>
  </si>
  <si>
    <t xml:space="preserve">2026-06-03</t>
  </si>
  <si>
    <t xml:space="preserve">Credit Model</t>
  </si>
  <si>
    <t xml:space="preserve">Bias</t>
  </si>
  <si>
    <t xml:space="preserve">Approval-rate gap detected in monthly fairness check</t>
  </si>
  <si>
    <t xml:space="preserve">Feature proxy correlation</t>
  </si>
  <si>
    <t xml:space="preserve">Feature review; threshold retune</t>
  </si>
  <si>
    <t xml:space="preserve">INC-003</t>
  </si>
  <si>
    <t xml:space="preserve">2026-06-18</t>
  </si>
  <si>
    <t xml:space="preserve">Fraud Engine</t>
  </si>
  <si>
    <t xml:space="preserve">Drift</t>
  </si>
  <si>
    <t xml:space="preserve">False-positive rate breached threshold</t>
  </si>
  <si>
    <t xml:space="preserve">Population shift post-campaign</t>
  </si>
  <si>
    <t xml:space="preserve">Recalibration scheduled</t>
  </si>
  <si>
    <t xml:space="preserve">AI Governance Exception Register</t>
  </si>
  <si>
    <t xml:space="preserve">Exception ID</t>
  </si>
  <si>
    <t xml:space="preserve">AI System / Control</t>
  </si>
  <si>
    <t xml:space="preserve">Reason</t>
  </si>
  <si>
    <t xml:space="preserve">Risk Accepted</t>
  </si>
  <si>
    <t xml:space="preserve">Compensating Controls</t>
  </si>
  <si>
    <t xml:space="preserve">Approver</t>
  </si>
  <si>
    <t xml:space="preserve">Granted Date</t>
  </si>
  <si>
    <t xml:space="preserve">Expiration</t>
  </si>
  <si>
    <t xml:space="preserve">EXC-001</t>
  </si>
  <si>
    <t xml:space="preserve">2 legacy scoring tools</t>
  </si>
  <si>
    <t xml:space="preserve">Not yet in full inventory</t>
  </si>
  <si>
    <t xml:space="preserve">Residual visibility risk (Medium)</t>
  </si>
  <si>
    <t xml:space="preserve">Manual quarterly review; usage cap</t>
  </si>
  <si>
    <t xml:space="preserve">AI Gov Committee</t>
  </si>
  <si>
    <t xml:space="preserve">2026-06-09</t>
  </si>
  <si>
    <t xml:space="preserve">2026-09-09</t>
  </si>
  <si>
    <t xml:space="preserve">EXC-002</t>
  </si>
  <si>
    <t xml:space="preserve">Chatbot explainability</t>
  </si>
  <si>
    <t xml:space="preserve">Vendor model limits explainability</t>
  </si>
  <si>
    <t xml:space="preserve">Limited explainability (Low)</t>
  </si>
  <si>
    <t xml:space="preserve">Human escalation path; disclaimer</t>
  </si>
  <si>
    <t xml:space="preserve">CRO</t>
  </si>
  <si>
    <t xml:space="preserve">2026-05-12</t>
  </si>
  <si>
    <t xml:space="preserve">2026-11-12</t>
  </si>
  <si>
    <t xml:space="preserve">Every exception must have an owner-approved risk acceptance, compensating controls, and a hard expiration date. Expired exceptions must be re-reviewed, not auto-renewed.</t>
  </si>
  <si>
    <t xml:space="preserve">AI Controls Library (Master Index — one row per distinct control)</t>
  </si>
  <si>
    <t xml:space="preserve">Control ID</t>
  </si>
  <si>
    <t xml:space="preserve">Control Name</t>
  </si>
  <si>
    <t xml:space="preserve">Objective</t>
  </si>
  <si>
    <t xml:space="preserve">Framework Mapping</t>
  </si>
  <si>
    <t xml:space="preserve">Tested In (tab)</t>
  </si>
  <si>
    <t xml:space="preserve">Frequency</t>
  </si>
  <si>
    <t xml:space="preserve">GOV-01</t>
  </si>
  <si>
    <t xml:space="preserve">AI Policy</t>
  </si>
  <si>
    <t xml:space="preserve">Approved enterprise AI policy exists and is maintained</t>
  </si>
  <si>
    <t xml:space="preserve">Preventive</t>
  </si>
  <si>
    <t xml:space="preserve">ISO 5.2; NIST GOVERN 1.1; EU Art.17</t>
  </si>
  <si>
    <t xml:space="preserve">Annual</t>
  </si>
  <si>
    <t xml:space="preserve">Not Implemented</t>
  </si>
  <si>
    <t xml:space="preserve">AI Governance Committee</t>
  </si>
  <si>
    <t xml:space="preserve">Steering committee with charter and cadence operates</t>
  </si>
  <si>
    <t xml:space="preserve">ISO 5.1; NIST GOVERN 2.1</t>
  </si>
  <si>
    <t xml:space="preserve">GOV-03</t>
  </si>
  <si>
    <t xml:space="preserve">Roles &amp; Accountability</t>
  </si>
  <si>
    <t xml:space="preserve">AI roles, responsibilities, authorities are documented</t>
  </si>
  <si>
    <t xml:space="preserve">ISO 5.3; NIST GOVERN 2.1</t>
  </si>
  <si>
    <t xml:space="preserve">RACI Matrix</t>
  </si>
  <si>
    <t xml:space="preserve">GOV-04</t>
  </si>
  <si>
    <t xml:space="preserve">Executive Risk Acceptance</t>
  </si>
  <si>
    <t xml:space="preserve">Leadership formally accepts residual AI risk</t>
  </si>
  <si>
    <t xml:space="preserve">Executive</t>
  </si>
  <si>
    <t xml:space="preserve">Per system</t>
  </si>
  <si>
    <t xml:space="preserve">AI Literacy &amp; Training</t>
  </si>
  <si>
    <t xml:space="preserve">Role-appropriate AI governance training delivered</t>
  </si>
  <si>
    <t xml:space="preserve">ISO 7.2; EU Art.4</t>
  </si>
  <si>
    <t xml:space="preserve">KPI Catalog</t>
  </si>
  <si>
    <t xml:space="preserve">HR/AI Gov</t>
  </si>
  <si>
    <t xml:space="preserve">Regulatory Tracking</t>
  </si>
  <si>
    <t xml:space="preserve">AI legal/regulatory obligations identified and tracked</t>
  </si>
  <si>
    <t xml:space="preserve">Detective</t>
  </si>
  <si>
    <t xml:space="preserve">NIST GOVERN 1.1</t>
  </si>
  <si>
    <t xml:space="preserve">US State AI Laws</t>
  </si>
  <si>
    <t xml:space="preserve">Compliance</t>
  </si>
  <si>
    <t xml:space="preserve">GOV-07</t>
  </si>
  <si>
    <t xml:space="preserve">Controls that can't be met are governed with compensating controls</t>
  </si>
  <si>
    <t xml:space="preserve">Corrective</t>
  </si>
  <si>
    <t xml:space="preserve">NIST GOVERN 1.3</t>
  </si>
  <si>
    <t xml:space="preserve">Per exception</t>
  </si>
  <si>
    <t xml:space="preserve">GOV-08</t>
  </si>
  <si>
    <t xml:space="preserve">Third-Party AI Policy</t>
  </si>
  <si>
    <t xml:space="preserve">Policy addresses third-party/vendor and foundation-model risk</t>
  </si>
  <si>
    <t xml:space="preserve">NIST GOVERN 6.1; EU Art.25</t>
  </si>
  <si>
    <t xml:space="preserve">DAT-01</t>
  </si>
  <si>
    <t xml:space="preserve">Data</t>
  </si>
  <si>
    <t xml:space="preserve">Data Quality Monitoring</t>
  </si>
  <si>
    <t xml:space="preserve">Training/production data quality monitored on cadence</t>
  </si>
  <si>
    <t xml:space="preserve">ISO A.7; NIST MEASURE 2.10</t>
  </si>
  <si>
    <t xml:space="preserve">Data Eng</t>
  </si>
  <si>
    <t xml:space="preserve">Continuous</t>
  </si>
  <si>
    <t xml:space="preserve">DAT-02</t>
  </si>
  <si>
    <t xml:space="preserve">End-to-end lineage documented source to inference</t>
  </si>
  <si>
    <t xml:space="preserve">ISO A.7</t>
  </si>
  <si>
    <t xml:space="preserve">DAT-03</t>
  </si>
  <si>
    <t xml:space="preserve">Dataset metadata maintained (source, date, sensitivity)</t>
  </si>
  <si>
    <t xml:space="preserve">DAT-04</t>
  </si>
  <si>
    <t xml:space="preserve">Lawful Basis / Consent</t>
  </si>
  <si>
    <t xml:space="preserve">Documented lawful basis for personal data in AI</t>
  </si>
  <si>
    <t xml:space="preserve">GDPR Art.6; EU Art.10</t>
  </si>
  <si>
    <t xml:space="preserve">DPO/Legal</t>
  </si>
  <si>
    <t xml:space="preserve">DAT-05</t>
  </si>
  <si>
    <t xml:space="preserve">Data Retention &amp; Disposal</t>
  </si>
  <si>
    <t xml:space="preserve">Retention/disposal schedules defined and enforced</t>
  </si>
  <si>
    <t xml:space="preserve">GDPR Art.5(1)(e)</t>
  </si>
  <si>
    <t xml:space="preserve">Data Gov</t>
  </si>
  <si>
    <t xml:space="preserve">DAT-06</t>
  </si>
  <si>
    <t xml:space="preserve">Feature store governed for access, versioning, quality</t>
  </si>
  <si>
    <t xml:space="preserve">ML Platform</t>
  </si>
  <si>
    <t xml:space="preserve">DAT-07</t>
  </si>
  <si>
    <t xml:space="preserve">Cross-border AI data transfers use valid mechanism</t>
  </si>
  <si>
    <t xml:space="preserve">GDPR Ch.V</t>
  </si>
  <si>
    <t xml:space="preserve">Legal</t>
  </si>
  <si>
    <t xml:space="preserve">DAT-08</t>
  </si>
  <si>
    <t xml:space="preserve">Data owner assigned per dataset feeding AI</t>
  </si>
  <si>
    <t xml:space="preserve">SEC-01</t>
  </si>
  <si>
    <t xml:space="preserve">Access Control (RBAC)</t>
  </si>
  <si>
    <t xml:space="preserve">Least-privilege access to AI systems and admin</t>
  </si>
  <si>
    <t xml:space="preserve">ISO A.6; NIST GOVERN 1.4</t>
  </si>
  <si>
    <t xml:space="preserve">Security/IAM</t>
  </si>
  <si>
    <t xml:space="preserve">SEC-02</t>
  </si>
  <si>
    <t xml:space="preserve">Encryption</t>
  </si>
  <si>
    <t xml:space="preserve">AI data encrypted at rest and in transit</t>
  </si>
  <si>
    <t xml:space="preserve">ISO A.6; EU Art.15</t>
  </si>
  <si>
    <t xml:space="preserve">SEC-03</t>
  </si>
  <si>
    <t xml:space="preserve">Threat Modeling</t>
  </si>
  <si>
    <t xml:space="preserve">AI-specific threat modeling performed</t>
  </si>
  <si>
    <t xml:space="preserve">NIST MEASURE 2.3</t>
  </si>
  <si>
    <t xml:space="preserve">SEC-04</t>
  </si>
  <si>
    <t xml:space="preserve">Adversarial Testing</t>
  </si>
  <si>
    <t xml:space="preserve">Model tested against adversarial inputs</t>
  </si>
  <si>
    <t xml:space="preserve">NIST MEASURE 2.3; EU Art.15</t>
  </si>
  <si>
    <t xml:space="preserve">Per release</t>
  </si>
  <si>
    <t xml:space="preserve">SEC-05</t>
  </si>
  <si>
    <t xml:space="preserve">Penetration Testing</t>
  </si>
  <si>
    <t xml:space="preserve">Pen testing covers AI/ML attack surfaces</t>
  </si>
  <si>
    <t xml:space="preserve">EU Art.15</t>
  </si>
  <si>
    <t xml:space="preserve">SEC-06</t>
  </si>
  <si>
    <t xml:space="preserve">SIEM Integration</t>
  </si>
  <si>
    <t xml:space="preserve">AI security events fed to enterprise SIEM</t>
  </si>
  <si>
    <t xml:space="preserve">ISO A.6</t>
  </si>
  <si>
    <t xml:space="preserve">SecOps</t>
  </si>
  <si>
    <t xml:space="preserve">SEC-07</t>
  </si>
  <si>
    <t xml:space="preserve">Secrets &amp; Key Management</t>
  </si>
  <si>
    <t xml:space="preserve">Model/API credentials managed securely</t>
  </si>
  <si>
    <t xml:space="preserve">PRV-01</t>
  </si>
  <si>
    <t xml:space="preserve">DPIA</t>
  </si>
  <si>
    <t xml:space="preserve">DPIA completed for high-risk AI processing</t>
  </si>
  <si>
    <t xml:space="preserve">GDPR Art.35</t>
  </si>
  <si>
    <t xml:space="preserve">DPO</t>
  </si>
  <si>
    <t xml:space="preserve">PRV-02</t>
  </si>
  <si>
    <t xml:space="preserve">Data Minimization</t>
  </si>
  <si>
    <t xml:space="preserve">Personal data limited to what's necessary</t>
  </si>
  <si>
    <t xml:space="preserve">GDPR Art.5(1)(c)</t>
  </si>
  <si>
    <t xml:space="preserve">PRV-03</t>
  </si>
  <si>
    <t xml:space="preserve">PII Masking</t>
  </si>
  <si>
    <t xml:space="preserve">PII masked/redacted in AI outputs</t>
  </si>
  <si>
    <t xml:space="preserve">GDPR Art.5; EU Art.10</t>
  </si>
  <si>
    <t xml:space="preserve">Privacy Eng</t>
  </si>
  <si>
    <t xml:space="preserve">PRV-04</t>
  </si>
  <si>
    <t xml:space="preserve">Automated Decision Safeguards</t>
  </si>
  <si>
    <t xml:space="preserve">Art.22 safeguards for solely-automated decisions</t>
  </si>
  <si>
    <t xml:space="preserve">GDPR Art.22</t>
  </si>
  <si>
    <t xml:space="preserve">PRV-05</t>
  </si>
  <si>
    <t xml:space="preserve">Data Subject Rights</t>
  </si>
  <si>
    <t xml:space="preserve">Access/rectification/erasure honored in AI data</t>
  </si>
  <si>
    <t xml:space="preserve">GDPR Art.15-21</t>
  </si>
  <si>
    <t xml:space="preserve">On request</t>
  </si>
  <si>
    <t xml:space="preserve">PRV-06</t>
  </si>
  <si>
    <t xml:space="preserve">Privacy-Enhancing Techniques</t>
  </si>
  <si>
    <t xml:space="preserve">PETs applied where feasible (anonymization, DP)</t>
  </si>
  <si>
    <t xml:space="preserve">ISO A.7.5</t>
  </si>
  <si>
    <t xml:space="preserve">MOD-01</t>
  </si>
  <si>
    <t xml:space="preserve">Model</t>
  </si>
  <si>
    <t xml:space="preserve">Model Registry</t>
  </si>
  <si>
    <t xml:space="preserve">Central registry of all production models incl. vendor</t>
  </si>
  <si>
    <t xml:space="preserve">ISO A.6.2; NIST GOVERN 1.6</t>
  </si>
  <si>
    <t xml:space="preserve">MOD-02</t>
  </si>
  <si>
    <t xml:space="preserve">Model card per production system</t>
  </si>
  <si>
    <t xml:space="preserve">ISO A.6.2</t>
  </si>
  <si>
    <t xml:space="preserve">Per model</t>
  </si>
  <si>
    <t xml:space="preserve">MOD-03</t>
  </si>
  <si>
    <t xml:space="preserve">Model version identifiable per decision</t>
  </si>
  <si>
    <t xml:space="preserve">MOD-04</t>
  </si>
  <si>
    <t xml:space="preserve">Validation independent of developer</t>
  </si>
  <si>
    <t xml:space="preserve">SR 11-7; ISO 9.2</t>
  </si>
  <si>
    <t xml:space="preserve">Model Validation</t>
  </si>
  <si>
    <t xml:space="preserve">MOD-05</t>
  </si>
  <si>
    <t xml:space="preserve">Qualified reviewers with authority to require change</t>
  </si>
  <si>
    <t xml:space="preserve">SR 11-7</t>
  </si>
  <si>
    <t xml:space="preserve">MOD-06</t>
  </si>
  <si>
    <t xml:space="preserve">Champion/Challenger</t>
  </si>
  <si>
    <t xml:space="preserve">A-B or champion/challenger before promotion</t>
  </si>
  <si>
    <t xml:space="preserve">NIST MEASURE</t>
  </si>
  <si>
    <t xml:space="preserve">MOD-07</t>
  </si>
  <si>
    <t xml:space="preserve">Bias/Fairness Testing</t>
  </si>
  <si>
    <t xml:space="preserve">Disparate-impact testing across protected classes</t>
  </si>
  <si>
    <t xml:space="preserve">NIST MEASURE 2.8; EU Art.10</t>
  </si>
  <si>
    <t xml:space="preserve">MOD-08</t>
  </si>
  <si>
    <t xml:space="preserve">Explanation available appropriate to audience</t>
  </si>
  <si>
    <t xml:space="preserve">NIST MEASURE 2.4; EU Art.13</t>
  </si>
  <si>
    <t xml:space="preserve">TST-01</t>
  </si>
  <si>
    <t xml:space="preserve">Test Plan &amp; Coverage</t>
  </si>
  <si>
    <t xml:space="preserve">Documented, repeatable test plan per system</t>
  </si>
  <si>
    <t xml:space="preserve">ISO 8.3; NIST MEASURE 2.1</t>
  </si>
  <si>
    <t xml:space="preserve">TST-02</t>
  </si>
  <si>
    <t xml:space="preserve">Pre-Deployment Gate</t>
  </si>
  <si>
    <t xml:space="preserve">Testing sign-off required before deploy</t>
  </si>
  <si>
    <t xml:space="preserve">ISO 8.1</t>
  </si>
  <si>
    <t xml:space="preserve">TST-03</t>
  </si>
  <si>
    <t xml:space="preserve">Robustness Testing</t>
  </si>
  <si>
    <t xml:space="preserve">Statistical reliability across conditions tested</t>
  </si>
  <si>
    <t xml:space="preserve">NIST MEASURE 2.2; EU Art.15</t>
  </si>
  <si>
    <t xml:space="preserve">TST-04</t>
  </si>
  <si>
    <t xml:space="preserve">Explainability Validation</t>
  </si>
  <si>
    <t xml:space="preserve">Explanation quality validated pre-deploy</t>
  </si>
  <si>
    <t xml:space="preserve">NIST MEASURE 2.4</t>
  </si>
  <si>
    <t xml:space="preserve">Go/No-Go Approval</t>
  </si>
  <si>
    <t xml:space="preserve">Formal deployment gate with sign-off</t>
  </si>
  <si>
    <t xml:space="preserve">Lifecycle View</t>
  </si>
  <si>
    <t xml:space="preserve">DEP-02</t>
  </si>
  <si>
    <t xml:space="preserve">Rollback Capability</t>
  </si>
  <si>
    <t xml:space="preserve">Tested rollback to known-good state</t>
  </si>
  <si>
    <t xml:space="preserve">Operational guardrail</t>
  </si>
  <si>
    <t xml:space="preserve">DEP-03</t>
  </si>
  <si>
    <t xml:space="preserve">Change Management</t>
  </si>
  <si>
    <t xml:space="preserve">Model/prompt/config changes under change control</t>
  </si>
  <si>
    <t xml:space="preserve">DEP-04</t>
  </si>
  <si>
    <t xml:space="preserve">Conformity / CE (EU)</t>
  </si>
  <si>
    <t xml:space="preserve">Conformity assessment &amp; CE where high-risk (EU)</t>
  </si>
  <si>
    <t xml:space="preserve">EU AI Act Full Assessment</t>
  </si>
  <si>
    <t xml:space="preserve">MON-01</t>
  </si>
  <si>
    <t xml:space="preserve">Drift Monitoring</t>
  </si>
  <si>
    <t xml:space="preserve">Drift monitored vs. threshold with triggers</t>
  </si>
  <si>
    <t xml:space="preserve">NIST MEASURE 2.12; ISO 9.1</t>
  </si>
  <si>
    <t xml:space="preserve">MON-02</t>
  </si>
  <si>
    <t xml:space="preserve">Performance Monitoring</t>
  </si>
  <si>
    <t xml:space="preserve">Production performance vs. KPIs monitored</t>
  </si>
  <si>
    <t xml:space="preserve">ISO 9.1; EU Art.72</t>
  </si>
  <si>
    <t xml:space="preserve">MON-03</t>
  </si>
  <si>
    <t xml:space="preserve">Post-Market Monitoring</t>
  </si>
  <si>
    <t xml:space="preserve">Formal post-market monitoring plan (EU)</t>
  </si>
  <si>
    <t xml:space="preserve">EU Art.72</t>
  </si>
  <si>
    <t xml:space="preserve">MON-04</t>
  </si>
  <si>
    <t xml:space="preserve">Alerting</t>
  </si>
  <si>
    <t xml:space="preserve">Anomaly/degradation alerting to on-call owner</t>
  </si>
  <si>
    <t xml:space="preserve">INC-01</t>
  </si>
  <si>
    <t xml:space="preserve">IR Runbook</t>
  </si>
  <si>
    <t xml:space="preserve">AI-specific incident runbook with roles/SLA</t>
  </si>
  <si>
    <t xml:space="preserve">NIST MANAGE 2.3</t>
  </si>
  <si>
    <t xml:space="preserve">Annual test</t>
  </si>
  <si>
    <t xml:space="preserve">INC-02</t>
  </si>
  <si>
    <t xml:space="preserve">Serious Incident Reporting</t>
  </si>
  <si>
    <t xml:space="preserve">Report serious incidents within required timeframe</t>
  </si>
  <si>
    <t xml:space="preserve">EU Art.73</t>
  </si>
  <si>
    <t xml:space="preserve">On event</t>
  </si>
  <si>
    <t xml:space="preserve">INC-03</t>
  </si>
  <si>
    <t xml:space="preserve">Kill Switch</t>
  </si>
  <si>
    <t xml:space="preserve">Tested fast-disable capability</t>
  </si>
  <si>
    <t xml:space="preserve">Semi-annual</t>
  </si>
  <si>
    <t xml:space="preserve">INC-04</t>
  </si>
  <si>
    <t xml:space="preserve">Incident Escalation</t>
  </si>
  <si>
    <t xml:space="preserve">Defined escalation incl. path to Legal/Compliance</t>
  </si>
  <si>
    <t xml:space="preserve">Committee Decision Log</t>
  </si>
  <si>
    <t xml:space="preserve">RET-01</t>
  </si>
  <si>
    <t xml:space="preserve">Decommissioning Process</t>
  </si>
  <si>
    <t xml:space="preserve">Documented retirement incl. stakeholder notice</t>
  </si>
  <si>
    <t xml:space="preserve">ISO A.6.2.6; NIST MANAGE 1.4</t>
  </si>
  <si>
    <t xml:space="preserve">Per retirement</t>
  </si>
  <si>
    <t xml:space="preserve">RET-02</t>
  </si>
  <si>
    <t xml:space="preserve">Data Disposal</t>
  </si>
  <si>
    <t xml:space="preserve">Secure disposal of model/training data on retire</t>
  </si>
  <si>
    <t xml:space="preserve">RET-03</t>
  </si>
  <si>
    <t xml:space="preserve">Records Retention</t>
  </si>
  <si>
    <t xml:space="preserve">Retain required records post-retirement</t>
  </si>
  <si>
    <t xml:space="preserve">EU Art.12</t>
  </si>
  <si>
    <t xml:space="preserve">This is a deduplicated MASTER INDEX: one row per distinct control, with 'Tested In' pointing to the tab where the control's detailed audit questions live. It is intentionally NOT a re-listing of all ~550 checklist items — that would duplicate the other tabs. This is how GRC platforms structure a control catalog vs. test procedures.</t>
  </si>
  <si>
    <t xml:space="preserve">AI Model Card — Template (copy per model)</t>
  </si>
  <si>
    <t xml:space="preserve">Model ID / Version</t>
  </si>
  <si>
    <t xml:space="preserve">Intended Use</t>
  </si>
  <si>
    <t xml:space="preserve">Out-of-Scope / Prohibited Uses</t>
  </si>
  <si>
    <t xml:space="preserve">Model Type / Architecture</t>
  </si>
  <si>
    <t xml:space="preserve">Training Data Summary (source, period, size)</t>
  </si>
  <si>
    <t xml:space="preserve">Data Sensitivity / PII</t>
  </si>
  <si>
    <t xml:space="preserve">Performance Metrics (accuracy, precision/recall, etc.)</t>
  </si>
  <si>
    <t xml:space="preserve">Fairness / Bias Results</t>
  </si>
  <si>
    <t xml:space="preserve">Explainability Method</t>
  </si>
  <si>
    <t xml:space="preserve">Known Limitations</t>
  </si>
  <si>
    <t xml:space="preserve">Human Oversight Design</t>
  </si>
  <si>
    <t xml:space="preserve">Guardrails Applied</t>
  </si>
  <si>
    <t xml:space="preserve">Monitoring Plan (drift, performance)</t>
  </si>
  <si>
    <t xml:space="preserve">Applicable Frameworks</t>
  </si>
  <si>
    <t xml:space="preserve">Approval / Go-Live Date</t>
  </si>
  <si>
    <t xml:space="preserve">Review Cadence</t>
  </si>
  <si>
    <t xml:space="preserve">Retirement Criteria</t>
  </si>
  <si>
    <t xml:space="preserve">Evidence Catalog — Requirement to Expected Evidence</t>
  </si>
  <si>
    <t xml:space="preserve">Ref</t>
  </si>
  <si>
    <t xml:space="preserve">Requirement / Control</t>
  </si>
  <si>
    <t xml:space="preserve">Expected Evidence</t>
  </si>
  <si>
    <t xml:space="preserve">Where It Lives</t>
  </si>
  <si>
    <t xml:space="preserve">Last Verified</t>
  </si>
  <si>
    <t xml:space="preserve">AI Policy approved</t>
  </si>
  <si>
    <t xml:space="preserve">Signed, dated, version-controlled policy</t>
  </si>
  <si>
    <t xml:space="preserve">Policy repository</t>
  </si>
  <si>
    <t xml:space="preserve">Charter + meeting minutes</t>
  </si>
  <si>
    <t xml:space="preserve">C-002</t>
  </si>
  <si>
    <t xml:space="preserve">Inventory export with coverage %</t>
  </si>
  <si>
    <t xml:space="preserve">AI Inventory tab</t>
  </si>
  <si>
    <t xml:space="preserve">Registry export incl. vendor models</t>
  </si>
  <si>
    <t xml:space="preserve">Model registry system</t>
  </si>
  <si>
    <t xml:space="preserve">Completed model card per system</t>
  </si>
  <si>
    <t xml:space="preserve">Model Card tab / repo</t>
  </si>
  <si>
    <t xml:space="preserve">Validation report with findings</t>
  </si>
  <si>
    <t xml:space="preserve">Validation repository</t>
  </si>
  <si>
    <t xml:space="preserve">Fairness test report per release</t>
  </si>
  <si>
    <t xml:space="preserve">Test evidence store</t>
  </si>
  <si>
    <t xml:space="preserve">Drift dashboard export / alert log</t>
  </si>
  <si>
    <t xml:space="preserve">Monitoring platform</t>
  </si>
  <si>
    <t xml:space="preserve">Signed approval record</t>
  </si>
  <si>
    <t xml:space="preserve">Incident tickets + post-mortems</t>
  </si>
  <si>
    <t xml:space="preserve">C-016</t>
  </si>
  <si>
    <t xml:space="preserve">Impact / FRIA</t>
  </si>
  <si>
    <t xml:space="preserve">Completed impact assessment</t>
  </si>
  <si>
    <t xml:space="preserve">Governance repository</t>
  </si>
  <si>
    <t xml:space="preserve">AI Gov/Legal</t>
  </si>
  <si>
    <t xml:space="preserve">Completed DPIA</t>
  </si>
  <si>
    <t xml:space="preserve">Privacy repository</t>
  </si>
  <si>
    <t xml:space="preserve">Security test report</t>
  </si>
  <si>
    <t xml:space="preserve">Security evidence store</t>
  </si>
  <si>
    <t xml:space="preserve">C-018</t>
  </si>
  <si>
    <t xml:space="preserve">Transparency Disclosure</t>
  </si>
  <si>
    <t xml:space="preserve">UI disclosure screenshot / deepfake labels</t>
  </si>
  <si>
    <t xml:space="preserve">Product evidence</t>
  </si>
  <si>
    <t xml:space="preserve">Product</t>
  </si>
  <si>
    <t xml:space="preserve">AI Literacy Training</t>
  </si>
  <si>
    <t xml:space="preserve">Training completion records</t>
  </si>
  <si>
    <t xml:space="preserve">LMS export</t>
  </si>
  <si>
    <t xml:space="preserve">Auditors work from evidence, not assertions. This catalog maps each key control to the artifact that proves it, where to find it, and who owns it.</t>
  </si>
  <si>
    <t xml:space="preserve">AI Vendor / Third-Party Assessment</t>
  </si>
  <si>
    <t xml:space="preserve">AI Product</t>
  </si>
  <si>
    <t xml:space="preserve">SOC 2</t>
  </si>
  <si>
    <t xml:space="preserve">ISO Certs (27001/42001)</t>
  </si>
  <si>
    <t xml:space="preserve">Model Transparency</t>
  </si>
  <si>
    <t xml:space="preserve">Security Posture</t>
  </si>
  <si>
    <t xml:space="preserve">SLA</t>
  </si>
  <si>
    <t xml:space="preserve">Sub-Processors Disclosed</t>
  </si>
  <si>
    <t xml:space="preserve">Assessment Status</t>
  </si>
  <si>
    <t xml:space="preserve">[Vendor A]</t>
  </si>
  <si>
    <t xml:space="preserve">LLM API</t>
  </si>
  <si>
    <t xml:space="preserve">[Vendor B]</t>
  </si>
  <si>
    <t xml:space="preserve">Fraud scoring</t>
  </si>
  <si>
    <t xml:space="preserve">AI vendor due diligence goes beyond standard software vendor review: model transparency, training-data practices, data residency, and sub-processor disclosure are AI-specific.</t>
  </si>
  <si>
    <t xml:space="preserve">AI Governance RACI Matrix</t>
  </si>
  <si>
    <t xml:space="preserve">Activity</t>
  </si>
  <si>
    <t xml:space="preserve">Operations</t>
  </si>
  <si>
    <t xml:space="preserve">AI intake &amp; business case</t>
  </si>
  <si>
    <t xml:space="preserve">C</t>
  </si>
  <si>
    <t xml:space="preserve">A/R</t>
  </si>
  <si>
    <t xml:space="preserve">I</t>
  </si>
  <si>
    <t xml:space="preserve">Risk classification</t>
  </si>
  <si>
    <t xml:space="preserve">Impact/FRIA assessment</t>
  </si>
  <si>
    <t xml:space="preserve">R</t>
  </si>
  <si>
    <t xml:space="preserve">Data quality sign-off</t>
  </si>
  <si>
    <t xml:space="preserve">Model development</t>
  </si>
  <si>
    <t xml:space="preserve">Independent validation</t>
  </si>
  <si>
    <t xml:space="preserve">A</t>
  </si>
  <si>
    <t xml:space="preserve">Bias/fairness testing</t>
  </si>
  <si>
    <t xml:space="preserve">Security testing</t>
  </si>
  <si>
    <t xml:space="preserve">Go/No-Go approval</t>
  </si>
  <si>
    <t xml:space="preserve">Production monitoring</t>
  </si>
  <si>
    <t xml:space="preserve">Incident response</t>
  </si>
  <si>
    <t xml:space="preserve">Vendor due diligence</t>
  </si>
  <si>
    <t xml:space="preserve">Policy &amp; standards</t>
  </si>
  <si>
    <t xml:space="preserve">Board/committee reporting</t>
  </si>
  <si>
    <t xml:space="preserve">R = Responsible   A = Accountable   C = Consulted   I = Informed</t>
  </si>
  <si>
    <t xml:space="preserve">AI Committee Decision Log</t>
  </si>
  <si>
    <t xml:space="preserve">Log ID</t>
  </si>
  <si>
    <t xml:space="preserve">Meeting Date</t>
  </si>
  <si>
    <t xml:space="preserve">Agenda Item</t>
  </si>
  <si>
    <t xml:space="preserve">Risks Accepted</t>
  </si>
  <si>
    <t xml:space="preserve">Exceptions Granted</t>
  </si>
  <si>
    <t xml:space="preserve">Action Items</t>
  </si>
  <si>
    <t xml:space="preserve">Due Date</t>
  </si>
  <si>
    <t xml:space="preserve">Committee Dashboard</t>
  </si>
  <si>
    <t xml:space="preserve">D-001</t>
  </si>
  <si>
    <t xml:space="preserve">Credit model v3 go-live</t>
  </si>
  <si>
    <t xml:space="preserve">Approved with conditions</t>
  </si>
  <si>
    <t xml:space="preserve">Residual bias risk (Medium) accepted for 6 mo</t>
  </si>
  <si>
    <t xml:space="preserve">None</t>
  </si>
  <si>
    <t xml:space="preserve">Add monthly fairness monitoring</t>
  </si>
  <si>
    <t xml:space="preserve">2026-06-01</t>
  </si>
  <si>
    <t xml:space="preserve">Decisions approved</t>
  </si>
  <si>
    <t xml:space="preserve">D-002</t>
  </si>
  <si>
    <t xml:space="preserve">GenAI chatbot expansion</t>
  </si>
  <si>
    <t xml:space="preserve">Deferred</t>
  </si>
  <si>
    <t xml:space="preserve">N/A</t>
  </si>
  <si>
    <t xml:space="preserve">Complete hallucination testing before re-review</t>
  </si>
  <si>
    <t xml:space="preserve">2026-06-30</t>
  </si>
  <si>
    <t xml:space="preserve">Decisions deferred/rejected</t>
  </si>
  <si>
    <t xml:space="preserve">D-003</t>
  </si>
  <si>
    <t xml:space="preserve">Shadow AI discovery findings</t>
  </si>
  <si>
    <t xml:space="preserve">Approved remediation plan</t>
  </si>
  <si>
    <t xml:space="preserve">Temp exception for 2 legacy tools (90 days)</t>
  </si>
  <si>
    <t xml:space="preserve">Bring 2 tools into inventory &amp; assess</t>
  </si>
  <si>
    <t xml:space="preserve">Exceptions granted</t>
  </si>
  <si>
    <t xml:space="preserve">Risks accepted</t>
  </si>
  <si>
    <t xml:space="preserve">Outstanding actions (Open)</t>
  </si>
  <si>
    <t xml:space="preserve">In progress</t>
  </si>
  <si>
    <t xml:space="preserve">AI Governance Metrics &amp; KPI Catalog</t>
  </si>
  <si>
    <t xml:space="preserve">KPI ID</t>
  </si>
  <si>
    <t xml:space="preserve">Definition</t>
  </si>
  <si>
    <t xml:space="preserve">Formula / Source</t>
  </si>
  <si>
    <t xml:space="preserve">Target</t>
  </si>
  <si>
    <t xml:space="preserve">K-01</t>
  </si>
  <si>
    <t xml:space="preserve">AI inventory coverage</t>
  </si>
  <si>
    <t xml:space="preserve">% of known AI systems in the inventory</t>
  </si>
  <si>
    <t xml:space="preserve">Inventoried / Total known</t>
  </si>
  <si>
    <t xml:space="preserve">100%</t>
  </si>
  <si>
    <t xml:space="preserve">Monthly</t>
  </si>
  <si>
    <t xml:space="preserve">K-02</t>
  </si>
  <si>
    <t xml:space="preserve">High-risk AI reviewed</t>
  </si>
  <si>
    <t xml:space="preserve">% high-risk systems with current assessment</t>
  </si>
  <si>
    <t xml:space="preserve">Reviewed / High-risk total</t>
  </si>
  <si>
    <t xml:space="preserve">K-03</t>
  </si>
  <si>
    <t xml:space="preserve">Open critical findings</t>
  </si>
  <si>
    <t xml:space="preserve">Count of open P1/critical findings</t>
  </si>
  <si>
    <t xml:space="preserve">Count from gap tabs</t>
  </si>
  <si>
    <t xml:space="preserve">0</t>
  </si>
  <si>
    <t xml:space="preserve">Weekly</t>
  </si>
  <si>
    <t xml:space="preserve">K-04</t>
  </si>
  <si>
    <t xml:space="preserve">Mean time to remediate</t>
  </si>
  <si>
    <t xml:space="preserve">Avg days to close a finding</t>
  </si>
  <si>
    <t xml:space="preserve">Avg(close - open)</t>
  </si>
  <si>
    <t xml:space="preserve">&lt; 30 days</t>
  </si>
  <si>
    <t xml:space="preserve">K-05</t>
  </si>
  <si>
    <t xml:space="preserve">Bias issues identified</t>
  </si>
  <si>
    <t xml:space="preserve">Count of fairness threshold breaches</t>
  </si>
  <si>
    <t xml:space="preserve">From MEASURE 2.8 testing</t>
  </si>
  <si>
    <t xml:space="preserve">Trend down</t>
  </si>
  <si>
    <t xml:space="preserve">K-06</t>
  </si>
  <si>
    <t xml:space="preserve">Drift events</t>
  </si>
  <si>
    <t xml:space="preserve">Models breaching drift threshold</t>
  </si>
  <si>
    <t xml:space="preserve">From monitoring</t>
  </si>
  <si>
    <t xml:space="preserve">K-07</t>
  </si>
  <si>
    <t xml:space="preserve">Hallucination rate (GenAI)</t>
  </si>
  <si>
    <t xml:space="preserve">% responses flagged inaccurate</t>
  </si>
  <si>
    <t xml:space="preserve">Flagged / Sampled</t>
  </si>
  <si>
    <t xml:space="preserve">&lt; target</t>
  </si>
  <si>
    <t xml:space="preserve">AI QA</t>
  </si>
  <si>
    <t xml:space="preserve">K-08</t>
  </si>
  <si>
    <t xml:space="preserve">Policy compliance</t>
  </si>
  <si>
    <t xml:space="preserve">% systems compliant with AI policy</t>
  </si>
  <si>
    <t xml:space="preserve">Compliant / Total</t>
  </si>
  <si>
    <t xml:space="preserve">&gt; 95%</t>
  </si>
  <si>
    <t xml:space="preserve">K-09</t>
  </si>
  <si>
    <t xml:space="preserve">Incident count</t>
  </si>
  <si>
    <t xml:space="preserve">AI incidents in period</t>
  </si>
  <si>
    <t xml:space="preserve">K-10</t>
  </si>
  <si>
    <t xml:space="preserve">Training completion</t>
  </si>
  <si>
    <t xml:space="preserve">% staff completing AI literacy training</t>
  </si>
  <si>
    <t xml:space="preserve">Completed / Required</t>
  </si>
  <si>
    <t xml:space="preserve">K-11</t>
  </si>
  <si>
    <t xml:space="preserve">Validation backlog</t>
  </si>
  <si>
    <t xml:space="preserve">Models awaiting independent validation</t>
  </si>
  <si>
    <t xml:space="preserve">&lt; threshold</t>
  </si>
  <si>
    <t xml:space="preserve">K-12</t>
  </si>
  <si>
    <t xml:space="preserve">Vendor assessment currency</t>
  </si>
  <si>
    <t xml:space="preserve">% AI vendors with current assessment</t>
  </si>
  <si>
    <t xml:space="preserve">Current / Total</t>
  </si>
  <si>
    <t xml:space="preserve">AI Governance Maturity Assessment (1-5 by Domain)</t>
  </si>
  <si>
    <t xml:space="preserve">Current Level (1-5)</t>
  </si>
  <si>
    <t xml:space="preserve">Target Level (1-5)</t>
  </si>
  <si>
    <t xml:space="preserve">Gap</t>
  </si>
  <si>
    <t xml:space="preserve">Evidence / Notes</t>
  </si>
  <si>
    <t xml:space="preserve">Auto Score (from % Yes)</t>
  </si>
  <si>
    <t xml:space="preserve">Risk Management</t>
  </si>
  <si>
    <t xml:space="preserve">(manual)</t>
  </si>
  <si>
    <t xml:space="preserve">Third-Party/Vendor</t>
  </si>
  <si>
    <t xml:space="preserve">Scale: 1=Initial (ad hoc)  2=Developing  3=Defined (documented)  4=Managed (measured)  5=Optimized (continuously improved)</t>
  </si>
  <si>
    <t xml:space="preserve">OVERALL AI GOVERNANCE MATURITY</t>
  </si>
  <si>
    <t xml:space="preserve">out of 5.0  (avg of current levels)</t>
  </si>
  <si>
    <t xml:space="preserve">Overall (auto-derived from completion)</t>
  </si>
  <si>
    <t xml:space="preserve">Data Privacy Checklist for AI (GDPR-Aligned)</t>
  </si>
  <si>
    <t xml:space="preserve">GDPR Area</t>
  </si>
  <si>
    <t xml:space="preserve">Lawful Basis</t>
  </si>
  <si>
    <t xml:space="preserve">Is there a documented lawful basis (Art. 6) for processing personal data in the AI system?</t>
  </si>
  <si>
    <t xml:space="preserve">Special Category</t>
  </si>
  <si>
    <t xml:space="preserve">For special-category data (Art. 9), is an additional condition met and documented?</t>
  </si>
  <si>
    <t xml:space="preserve">Are data subjects informed of AI processing and its logic where required (Art. 13-14)?</t>
  </si>
  <si>
    <t xml:space="preserve">Automated Decisions</t>
  </si>
  <si>
    <t xml:space="preserve">For solely-automated decisions with legal/significant effect (Art. 22), are safeguards (human intervention, contest right) in place?</t>
  </si>
  <si>
    <t xml:space="preserve">Has a Data Protection Impact Assessment (Art. 35) been completed for high-risk AI processing?</t>
  </si>
  <si>
    <t xml:space="preserve">Is personal data limited to what is necessary for the AI purpose (Art. 5(1)(c))?</t>
  </si>
  <si>
    <t xml:space="preserve">Purpose Limitation</t>
  </si>
  <si>
    <t xml:space="preserve">Is AI use of data compatible with the purpose for which it was collected (Art. 5(1)(b))?</t>
  </si>
  <si>
    <t xml:space="preserve">Accuracy</t>
  </si>
  <si>
    <t xml:space="preserve">Are measures in place to keep personal data used by AI accurate (Art. 5(1)(d))?</t>
  </si>
  <si>
    <t xml:space="preserve">Storage Limitation</t>
  </si>
  <si>
    <t xml:space="preserve">Are retention limits defined for AI training/inference data (Art. 5(1)(e))?</t>
  </si>
  <si>
    <t xml:space="preserve">Can access, rectification, erasure, and objection rights be honored in AI datasets (Art. 15-21)?</t>
  </si>
  <si>
    <t xml:space="preserve">Are appropriate technical/organizational measures applied to AI data (Art. 32)?</t>
  </si>
  <si>
    <t xml:space="preserve">International Transfers</t>
  </si>
  <si>
    <t xml:space="preserve">Are cross-border transfers of AI data covered by a valid transfer mechanism (Ch. V)?</t>
  </si>
  <si>
    <t xml:space="preserve">Processor/Vendor</t>
  </si>
  <si>
    <t xml:space="preserve">Are AI vendors bound by Art. 28 processor terms where they process personal data?</t>
  </si>
  <si>
    <t xml:space="preserve">Profiling Transparency</t>
  </si>
  <si>
    <t xml:space="preserve">Where AI profiles individuals, is meaningful information about the logic provided where required?</t>
  </si>
  <si>
    <t xml:space="preserve">Records of Processing</t>
  </si>
  <si>
    <t xml:space="preserve">Is AI personal-data processing reflected in the Art. 30 records of processing activities?</t>
  </si>
  <si>
    <t xml:space="preserve">Note: Article references are to the EU GDPR. For UK GDPR, US state privacy laws (e.g., CCPA/CPRA), or other regimes, map to the equivalent provisions. Not legal advice — confirm with privacy counsel.</t>
  </si>
  <si>
    <t xml:space="preserve">US State AI Law Tracker — Verified mid-2026 (VOLATILE: re-verify before relying)</t>
  </si>
  <si>
    <t xml:space="preserve">Jurisdiction</t>
  </si>
  <si>
    <t xml:space="preserve">Law / Instrument</t>
  </si>
  <si>
    <t xml:space="preserve">Focus</t>
  </si>
  <si>
    <t xml:space="preserve">Summary (verified mid-2026)</t>
  </si>
  <si>
    <t xml:space="preserve">Status Caveat</t>
  </si>
  <si>
    <t xml:space="preserve">Applies to Us? (Y/N)</t>
  </si>
  <si>
    <t xml:space="preserve">Action Required</t>
  </si>
  <si>
    <t xml:space="preserve">US Federal</t>
  </si>
  <si>
    <t xml:space="preserve">Dec 2025 Executive Order 'National Policy Framework for AI'</t>
  </si>
  <si>
    <t xml:space="preserve">Preemption push</t>
  </si>
  <si>
    <t xml:space="preserve">Signals intent to preempt certain state AI laws deemed inconsistent; NO federal preemption enacted as of mid-2026 — state laws remain in force. FTC policy statement expected; Commerce evaluation of state laws underway.</t>
  </si>
  <si>
    <t xml:space="preserve">Watch: preemption is a live federal push, not settled law. Confirm current status.</t>
  </si>
  <si>
    <t xml:space="preserve">Colorado</t>
  </si>
  <si>
    <t xml:space="preserve">SB 26-189 (Revised CO AI Act / ADMT)</t>
  </si>
  <si>
    <t xml:space="preserve">Automated decision-making transparency</t>
  </si>
  <si>
    <t xml:space="preserve">REPLACED the original 2024 Colorado AI Act (SB 24-205). Signed May 14, 2026; effective Jan 1, 2027. Regulates 'covered ADMT' materially influencing consequential decisions (employment, housing, financial services, insurance, healthcare, education, government services). Focuses on pre-use notices, adverse-outcome explanations, data access/correction rights, and meaningful human review.</t>
  </si>
  <si>
    <t xml:space="preserve">Original SB 24-205 'high-risk' duty-of-care framework was REPEALED — do not cite it. Confirm current status.</t>
  </si>
  <si>
    <t xml:space="preserve">California</t>
  </si>
  <si>
    <t xml:space="preserve">CCPA ADMT regulations; SB 53 (Frontier AI Transparency); AB 2013 (training-data transparency); SB 942 (AI Transparency Act)</t>
  </si>
  <si>
    <t xml:space="preserve">Layered: ADMT rights + transparency</t>
  </si>
  <si>
    <t xml:space="preserve">AB 2013 &amp; SB 942 effective Jan 1, 2026. SB 53 applies to large frontier developers. CCPA ADMT: risk-assessment duties phasing from 2026, pre-use notices/opt-outs and significant-decision obligations phasing 2027+.</t>
  </si>
  <si>
    <t xml:space="preserve">Multiple laws may apply simultaneously. Confirm current effective dates.</t>
  </si>
  <si>
    <t xml:space="preserve">Texas</t>
  </si>
  <si>
    <t xml:space="preserve">TRAIGA (HB 149)</t>
  </si>
  <si>
    <t xml:space="preserve">Prohibited uses + gov use</t>
  </si>
  <si>
    <t xml:space="preserve">Effective Jan 1, 2026. Narrowed in final form — mostly government-use obligations plus categorical bans (behavioral manipulation, unlawful discrimination, self-harm/violence incitement, CSAM/deepfake). Provides affirmative defense for NIST AI RMF compliance. Penalties escalate for uncured violations.</t>
  </si>
  <si>
    <t xml:space="preserve">Confirm current status; AG complaint mechanism due ~Sept 2026.</t>
  </si>
  <si>
    <t xml:space="preserve">Illinois</t>
  </si>
  <si>
    <t xml:space="preserve">HB 3773 (Human Rights Act amendment)</t>
  </si>
  <si>
    <t xml:space="preserve">Employment AI</t>
  </si>
  <si>
    <t xml:space="preserve">Makes it a civil-rights violation to use AI in employment decisions that discriminates against protected classes, or to use ZIP codes as proxies, without notice. Private right of action.</t>
  </si>
  <si>
    <t xml:space="preserve">Confirm current status and effective provisions.</t>
  </si>
  <si>
    <t xml:space="preserve">New York (State)</t>
  </si>
  <si>
    <t xml:space="preserve">RAISE Act</t>
  </si>
  <si>
    <t xml:space="preserve">Frontier AI safety</t>
  </si>
  <si>
    <t xml:space="preserve">Signed Dec 19, 2025; chapter amendment Mar 27, 2026; effective Jan 1, 2027. Targets frontier model developers (safety frameworks, incident reporting).</t>
  </si>
  <si>
    <t xml:space="preserve">Confirm current status.</t>
  </si>
  <si>
    <t xml:space="preserve">New York City</t>
  </si>
  <si>
    <t xml:space="preserve">Local Law 144</t>
  </si>
  <si>
    <t xml:space="preserve">Automated employment decision tools</t>
  </si>
  <si>
    <t xml:space="preserve">Requires independent bias audit of automated employment decision tools, publication of results, and candidate notice.</t>
  </si>
  <si>
    <t xml:space="preserve">In force; confirm current audit requirements.</t>
  </si>
  <si>
    <t xml:space="preserve">Utah</t>
  </si>
  <si>
    <t xml:space="preserve">AI Policy Act (disclosure)</t>
  </si>
  <si>
    <t xml:space="preserve">Consumer disclosure</t>
  </si>
  <si>
    <t xml:space="preserve">Requires disclosure of GenAI use in certain consumer interactions.</t>
  </si>
  <si>
    <t xml:space="preserve">IMPORTANT: US state AI law is changing rapidly and is subject to a December 2025 federal preemption executive order (not yet enacted into preemption as of mid-2026). The original Colorado AI Act (SB 24-205) was REPEALED and replaced by SB 26-189. Treat every row here as a starting point to re-verify against current primary sources before advising a client or regulator. Not legal advice.</t>
  </si>
  <si>
    <t xml:space="preserve">Financial Services AI Controls — Region-Neutral (16 Controls)</t>
  </si>
  <si>
    <t xml:space="preserve">FS Domain</t>
  </si>
  <si>
    <t xml:space="preserve">Model Risk Management</t>
  </si>
  <si>
    <t xml:space="preserve">Is there a model risk management framework applying three-lines-of-defense governance to AI/ML models? (SR 11-7 is the widely-recognized baseline; equivalents include ECB/EBA and PRA SS1/23.)</t>
  </si>
  <si>
    <t xml:space="preserve">Are AI/ML models independently validated for conceptual soundness, ongoing monitoring, and outcomes analysis?</t>
  </si>
  <si>
    <t xml:space="preserve">Is a complete model inventory maintained, including AI-based automated decision systems previously outside traditional model definitions?</t>
  </si>
  <si>
    <t xml:space="preserve">Are vendor/third-party models validated and incorporated into the MRM framework?</t>
  </si>
  <si>
    <t xml:space="preserve">Is there board-level or senior-committee accountability for model risk?</t>
  </si>
  <si>
    <t xml:space="preserve">Credit / Underwriting</t>
  </si>
  <si>
    <t xml:space="preserve">For AI used in credit or underwriting decisions, is adverse-action explainability available to affected applicants?</t>
  </si>
  <si>
    <t xml:space="preserve">Is disparate-impact testing performed on credit/underwriting models against protected classes?</t>
  </si>
  <si>
    <t xml:space="preserve">AML / Transaction Monitoring</t>
  </si>
  <si>
    <t xml:space="preserve">For AI used in AML/transaction monitoring, is model performance (false positive/negative rates) monitored and tuned under governance?</t>
  </si>
  <si>
    <t xml:space="preserve">Are AML model changes subject to documented validation and regulatory-defensible change control?</t>
  </si>
  <si>
    <t xml:space="preserve">KYC / Identity</t>
  </si>
  <si>
    <t xml:space="preserve">For AI in KYC/identity verification, is accuracy monitored across demographic groups to detect differential error rates?</t>
  </si>
  <si>
    <t xml:space="preserve">Trading / Market Surveillance</t>
  </si>
  <si>
    <t xml:space="preserve">For AI in trading or market surveillance, are alerts explainable and auditable for regulatory inquiry?</t>
  </si>
  <si>
    <t xml:space="preserve">Is there human oversight of AI-driven trading/surveillance decisions with documented override authority?</t>
  </si>
  <si>
    <t xml:space="preserve">Fraud Detection</t>
  </si>
  <si>
    <t xml:space="preserve">For AI fraud models, is there a defined process to handle and appeal false-positive customer impacts?</t>
  </si>
  <si>
    <t xml:space="preserve">Regulatory Reporting</t>
  </si>
  <si>
    <t xml:space="preserve">Where AI contributes to regulatory reporting, is output accuracy controlled and auditable?</t>
  </si>
  <si>
    <t xml:space="preserve">Consumer Protection</t>
  </si>
  <si>
    <t xml:space="preserve">Are AI systems affecting consumers assessed for fair-treatment / conduct-risk obligations?</t>
  </si>
  <si>
    <t xml:space="preserve">Operational Resilience</t>
  </si>
  <si>
    <t xml:space="preserve">Are business-critical AI systems covered by operational resilience and continuity requirements?</t>
  </si>
  <si>
    <t xml:space="preserve">Note: Region-neutral / principles-based. SR 11-7 (US) is cited as the widely-recognized model-risk baseline; ECB/EBA (EU) and PRA SS1/23 (UK) are equivalents. Confirm the specific regime applicable to your institution before citing a named rule to a regulator.</t>
  </si>
  <si>
    <t xml:space="preserve">Sector Pack — Healthcare AI</t>
  </si>
  <si>
    <t xml:space="preserve">Area</t>
  </si>
  <si>
    <t xml:space="preserve">Clinical Safety</t>
  </si>
  <si>
    <t xml:space="preserve">Are AI systems influencing clinical decisions validated for safety and subject to clinician oversight before affecting care?</t>
  </si>
  <si>
    <t xml:space="preserve">Is there a clear boundary between AI decision-support and autonomous clinical decision-making, documented per system?</t>
  </si>
  <si>
    <t xml:space="preserve">Regulatory (Device)</t>
  </si>
  <si>
    <t xml:space="preserve">Where AI functions as a medical device (SaMD), is the applicable regulatory pathway (e.g., FDA, EU MDR) identified and satisfied?</t>
  </si>
  <si>
    <t xml:space="preserve">Patient Data / Privacy</t>
  </si>
  <si>
    <t xml:space="preserve">Is protected health information used in AI governed under applicable health-privacy law (e.g., HIPAA in US, GDPR special-category rules in EU)?</t>
  </si>
  <si>
    <t xml:space="preserve">Is there a documented lawful basis and, where required, patient consent for AI use of health data?</t>
  </si>
  <si>
    <t xml:space="preserve">Bias / Equity</t>
  </si>
  <si>
    <t xml:space="preserve">Is the AI system tested for differential performance across patient demographics (age, sex, race, comorbidity)?</t>
  </si>
  <si>
    <t xml:space="preserve">Can clinicians obtain an explanation for an AI recommendation sufficient to exercise professional judgment?</t>
  </si>
  <si>
    <t xml:space="preserve">Is a qualified clinician accountable for AI-assisted decisions, with authority to override?</t>
  </si>
  <si>
    <t xml:space="preserve">Is post-deployment clinical performance monitored, including for degradation and safety signals?</t>
  </si>
  <si>
    <t xml:space="preserve">Are patients informed where AI materially influences their care, per applicable rules?</t>
  </si>
  <si>
    <t xml:space="preserve">Note: Healthcare AI may trigger medical-device regulation (FDA/EU MDR) and health-privacy law (HIPAA/GDPR). Confirm the specific regime for your jurisdiction and use case.</t>
  </si>
  <si>
    <t xml:space="preserve">Sector Pack — Insurance AI</t>
  </si>
  <si>
    <t xml:space="preserve">Underwriting Fairness</t>
  </si>
  <si>
    <t xml:space="preserve">Is AI used in underwriting tested for unfair discrimination / proxy discrimination against protected classes?</t>
  </si>
  <si>
    <t xml:space="preserve">Rating / Pricing</t>
  </si>
  <si>
    <t xml:space="preserve">Are AI-driven pricing models explainable and compliant with applicable insurance rating regulation?</t>
  </si>
  <si>
    <t xml:space="preserve">Claims</t>
  </si>
  <si>
    <t xml:space="preserve">For AI in claims decisions, is there an appeal path and human review for adverse outcomes?</t>
  </si>
  <si>
    <t xml:space="preserve">Regulatory</t>
  </si>
  <si>
    <t xml:space="preserve">Are AI models governed consistent with applicable insurance regulator expectations (e.g., NAIC model bulletin in US; local equivalents)?</t>
  </si>
  <si>
    <t xml:space="preserve">Consumer Disclosure</t>
  </si>
  <si>
    <t xml:space="preserve">Are consumers notified where AI materially influences an insurance decision, where required?</t>
  </si>
  <si>
    <t xml:space="preserve">Is data used in insurance AI (incl. third-party/alternative data) governed for quality, provenance, and permissibility?</t>
  </si>
  <si>
    <t xml:space="preserve">Are actuarial and AI/ML models subject to independent validation and governance?</t>
  </si>
  <si>
    <t xml:space="preserve">Is ongoing monitoring in place for drift and disparate impact in deployed insurance models?</t>
  </si>
  <si>
    <t xml:space="preserve">Note: US insurance is state-regulated (see NAIC model bulletin on AI); other jurisdictions differ. Confirm applicable regulator expectations.</t>
  </si>
  <si>
    <t xml:space="preserve">Sector Pack — Employment / HR AI</t>
  </si>
  <si>
    <t xml:space="preserve">Bias Audit</t>
  </si>
  <si>
    <t xml:space="preserve">For automated employment decision tools, is an independent bias audit performed where required (e.g., NYC Local Law 144)?</t>
  </si>
  <si>
    <t xml:space="preserve">Candidate Notice</t>
  </si>
  <si>
    <t xml:space="preserve">Are candidates/employees notified of AI use in hiring/promotion decisions where required (e.g., Illinois HB 3773)?</t>
  </si>
  <si>
    <t xml:space="preserve">Proxy Discrimination</t>
  </si>
  <si>
    <t xml:space="preserve">Is the tool checked to ensure it does not use ZIP code or other proxies for protected characteristics?</t>
  </si>
  <si>
    <t xml:space="preserve">Human Review</t>
  </si>
  <si>
    <t xml:space="preserve">Is meaningful human review available for adverse automated employment decisions?</t>
  </si>
  <si>
    <t xml:space="preserve">Record-Keeping</t>
  </si>
  <si>
    <t xml:space="preserve">Are AI hiring decisions and audit results documented and retained per applicable law?</t>
  </si>
  <si>
    <t xml:space="preserve">Accommodation</t>
  </si>
  <si>
    <t xml:space="preserve">Is there a process for reasonable accommodation / alternative evaluation where AI screening is used?</t>
  </si>
  <si>
    <t xml:space="preserve">Where the tool is vendor-provided, has bias-audit and compliance responsibility been contractually allocated?</t>
  </si>
  <si>
    <t xml:space="preserve">Note: Employment-AI rules are jurisdiction-specific (e.g., NYC Local Law 144 bias audit; Illinois HB 3773 notice). Confirm which apply to your hiring footprint.</t>
  </si>
  <si>
    <t xml:space="preserve">Sector Pack — Public Sector / Government AI</t>
  </si>
  <si>
    <t xml:space="preserve">Is public-sector AI use disclosed to affected individuals, consistent with transparency obligations?</t>
  </si>
  <si>
    <t xml:space="preserve">Due Process</t>
  </si>
  <si>
    <t xml:space="preserve">For AI influencing benefits/eligibility, is there a documented appeal and human-review process?</t>
  </si>
  <si>
    <t xml:space="preserve">Procurement</t>
  </si>
  <si>
    <t xml:space="preserve">Does AI procurement include governance, bias, and explainability requirements?</t>
  </si>
  <si>
    <t xml:space="preserve">Fundamental Rights</t>
  </si>
  <si>
    <t xml:space="preserve">Has a fundamental-rights / equity impact assessment been completed for high-impact government AI?</t>
  </si>
  <si>
    <t xml:space="preserve">Is a named official accountable for each deployed government AI system?</t>
  </si>
  <si>
    <t xml:space="preserve">Records</t>
  </si>
  <si>
    <t xml:space="preserve">Are AI-assisted decisions logged and auditable for public accountability?</t>
  </si>
  <si>
    <t xml:space="preserve">Framework Reference — What Each Code Means</t>
  </si>
  <si>
    <t xml:space="preserve">NIST AI RMF 1.0 — Functions</t>
  </si>
  <si>
    <t xml:space="preserve">Code</t>
  </si>
  <si>
    <t xml:space="preserve">Name</t>
  </si>
  <si>
    <t xml:space="preserve">Govern</t>
  </si>
  <si>
    <t xml:space="preserve">Culture, accountability, structures</t>
  </si>
  <si>
    <t xml:space="preserve">Cross-cutting; underpins Map/Measure/Manage</t>
  </si>
  <si>
    <t xml:space="preserve">Map</t>
  </si>
  <si>
    <t xml:space="preserve">Context &amp; risk identification</t>
  </si>
  <si>
    <t xml:space="preserve">Establishes what the system is and who it affects</t>
  </si>
  <si>
    <t xml:space="preserve">Measure</t>
  </si>
  <si>
    <t xml:space="preserve">Testing, evaluation &amp; metrics</t>
  </si>
  <si>
    <t xml:space="preserve">Quantifies trustworthy-AI characteristics</t>
  </si>
  <si>
    <t xml:space="preserve">Manage</t>
  </si>
  <si>
    <t xml:space="preserve">Risk treatment &amp; response</t>
  </si>
  <si>
    <t xml:space="preserve">Allocates resources and tracks remediation</t>
  </si>
  <si>
    <t xml:space="preserve">ISO/IEC 42001:2023 — Clause Structure (AI Management System)</t>
  </si>
  <si>
    <t xml:space="preserve">Context of the organization</t>
  </si>
  <si>
    <t xml:space="preserve">Internal/external issues, interested parties, AIMS scope</t>
  </si>
  <si>
    <t xml:space="preserve">Leadership</t>
  </si>
  <si>
    <t xml:space="preserve">Leadership commitment, AI policy, roles &amp; responsibilities</t>
  </si>
  <si>
    <t xml:space="preserve">Planning</t>
  </si>
  <si>
    <t xml:space="preserve">Risk &amp; objectives</t>
  </si>
  <si>
    <t xml:space="preserve">Actions to address risk/opportunity, AI objectives</t>
  </si>
  <si>
    <t xml:space="preserve">Support</t>
  </si>
  <si>
    <t xml:space="preserve">Competence, awareness, communication, documented information</t>
  </si>
  <si>
    <t xml:space="preserve">Operation</t>
  </si>
  <si>
    <t xml:space="preserve">Lifecycle controls</t>
  </si>
  <si>
    <t xml:space="preserve">Operational planning, impact assessment, data for AI systems</t>
  </si>
  <si>
    <t xml:space="preserve">Performance evaluation</t>
  </si>
  <si>
    <t xml:space="preserve">Monitoring/measurement, internal audit, management review</t>
  </si>
  <si>
    <t xml:space="preserve">Improvement</t>
  </si>
  <si>
    <t xml:space="preserve">Nonconformity, corrective action, continual improvement</t>
  </si>
  <si>
    <t xml:space="preserve">Impact assessment</t>
  </si>
  <si>
    <t xml:space="preserve">Assessing impacts of AI systems on individuals/society</t>
  </si>
  <si>
    <t xml:space="preserve">Design, development, verification, deployment, decommissioning</t>
  </si>
  <si>
    <t xml:space="preserve">Data quality, provenance, privacy-enhancing measures</t>
  </si>
  <si>
    <t xml:space="preserve">Info for interested parties</t>
  </si>
  <si>
    <t xml:space="preserve">Transparency and disclosure to affected parties</t>
  </si>
  <si>
    <t xml:space="preserve">Human oversight, responsible use</t>
  </si>
  <si>
    <t xml:space="preserve">Third-party relationships</t>
  </si>
  <si>
    <t xml:space="preserve">Supplier/vendor management for AI components</t>
  </si>
  <si>
    <t xml:space="preserve">EU AI Act — Key Articles Referenced</t>
  </si>
  <si>
    <t xml:space="preserve">Unacceptable-risk AI practices banned outright</t>
  </si>
  <si>
    <t xml:space="preserve">Art. 6 / Annex III</t>
  </si>
  <si>
    <t xml:space="preserve">High-risk classification</t>
  </si>
  <si>
    <t xml:space="preserve">Rules and use-case list for high-risk AI systems</t>
  </si>
  <si>
    <t xml:space="preserve">Provider obligation</t>
  </si>
  <si>
    <t xml:space="preserve">Continuous, iterative risk management across lifecycle</t>
  </si>
  <si>
    <t xml:space="preserve">Data &amp; data governance</t>
  </si>
  <si>
    <t xml:space="preserve">Training/validation/test data quality, bias examination</t>
  </si>
  <si>
    <t xml:space="preserve">Art. 11 / 12</t>
  </si>
  <si>
    <t xml:space="preserve">Technical documentation / record-keeping</t>
  </si>
  <si>
    <t xml:space="preserve">Documentation and automatic logging requirements</t>
  </si>
  <si>
    <t xml:space="preserve">Transparency &amp; instructions for use</t>
  </si>
  <si>
    <t xml:space="preserve">Information for deployers and, in some cases, end users</t>
  </si>
  <si>
    <t xml:space="preserve">Design for effective human oversight and override</t>
  </si>
  <si>
    <t xml:space="preserve">Accuracy, robustness, cybersecurity</t>
  </si>
  <si>
    <t xml:space="preserve">Technical performance and resilience requirements</t>
  </si>
  <si>
    <t xml:space="preserve">QMS covering the full AI system lifecycle</t>
  </si>
  <si>
    <t xml:space="preserve">Art. 25</t>
  </si>
  <si>
    <t xml:space="preserve">Value chain responsibilities</t>
  </si>
  <si>
    <t xml:space="preserve">Shared obligation</t>
  </si>
  <si>
    <t xml:space="preserve">Allocation of duties across providers/distributors/deployers</t>
  </si>
  <si>
    <t xml:space="preserve">Deployer obligations</t>
  </si>
  <si>
    <t xml:space="preserve">Deployer obligation</t>
  </si>
  <si>
    <t xml:space="preserve">Use per instructions, human oversight, monitoring</t>
  </si>
  <si>
    <t xml:space="preserve">Required for certain high-risk deployments (e.g., public bodies, banks, insurers)</t>
  </si>
  <si>
    <t xml:space="preserve">Art. 61 / 72</t>
  </si>
  <si>
    <t xml:space="preserve">Post-market monitoring</t>
  </si>
  <si>
    <t xml:space="preserve">Ongoing monitoring plan across the system's lifetime</t>
  </si>
  <si>
    <t xml:space="preserve">Art. 62</t>
  </si>
  <si>
    <t xml:space="preserve">Serious incident reporting</t>
  </si>
  <si>
    <t xml:space="preserve">Reporting serious incidents to market surveillance authorities</t>
  </si>
  <si>
    <t xml:space="preserve">NIST AI RMF — Categories within each Function</t>
  </si>
  <si>
    <t xml:space="preserve">GOVERN 1-6</t>
  </si>
  <si>
    <t xml:space="preserve">Policies, accountability, workforce, culture, stakeholders, third parties</t>
  </si>
  <si>
    <t xml:space="preserve">Cross-cutting culture &amp; structure</t>
  </si>
  <si>
    <t xml:space="preserve">MAP 1-5</t>
  </si>
  <si>
    <t xml:space="preserve">Context, categorization, benefits/costs, third-party mapping, impacts</t>
  </si>
  <si>
    <t xml:space="preserve">Establishes what the system is &amp; who it affects</t>
  </si>
  <si>
    <t xml:space="preserve">MEASURE 1-4</t>
  </si>
  <si>
    <t xml:space="preserve">Metrics, trustworthy-characteristic evaluation, risk tracking, feedback</t>
  </si>
  <si>
    <t xml:space="preserve">13 trustworthy-AI characteristics tested under MEASURE 2</t>
  </si>
  <si>
    <t xml:space="preserve">MANAGE 1-4</t>
  </si>
  <si>
    <t xml:space="preserve">Risk response, benefit maximization, third-party mgmt, communication</t>
  </si>
  <si>
    <t xml:space="preserve">Allocates resources &amp; tracks remediation</t>
  </si>
  <si>
    <t xml:space="preserve">Responsible AI — Principle Definitions</t>
  </si>
  <si>
    <t xml:space="preserve">What auditors look for</t>
  </si>
  <si>
    <t xml:space="preserve">AI does not produce unjustified disparate outcomes</t>
  </si>
  <si>
    <t xml:space="preserve">Bias testing across protected classes; thresholds</t>
  </si>
  <si>
    <t xml:space="preserve">Links to EU AI Act Art. 10</t>
  </si>
  <si>
    <t xml:space="preserve">Affected people know AI is involved &amp; how</t>
  </si>
  <si>
    <t xml:space="preserve">Disclosure notices; interaction labeling</t>
  </si>
  <si>
    <t xml:space="preserve">Links to EU AI Act Art. 13, 50</t>
  </si>
  <si>
    <t xml:space="preserve">Decisions can be explained appropriately to the audience</t>
  </si>
  <si>
    <t xml:space="preserve">Reason codes; explanation methods</t>
  </si>
  <si>
    <t xml:space="preserve">Adverse-action explanations in credit</t>
  </si>
  <si>
    <t xml:space="preserve">A named owner is responsible for outcomes</t>
  </si>
  <si>
    <t xml:space="preserve">RACI; governance charter; sign-offs</t>
  </si>
  <si>
    <t xml:space="preserve">Links to ISO 42001 Clause 5.3</t>
  </si>
  <si>
    <t xml:space="preserve">Personal data is protected &amp; minimized</t>
  </si>
  <si>
    <t xml:space="preserve">PIA/DPIA; PETs; minimization</t>
  </si>
  <si>
    <t xml:space="preserve">Interfaces with GDPR</t>
  </si>
  <si>
    <t xml:space="preserve">AI systems resist attack &amp; misuse</t>
  </si>
  <si>
    <t xml:space="preserve">Adversarial testing; access control</t>
  </si>
  <si>
    <t xml:space="preserve">Links to EU AI Act Art. 15</t>
  </si>
  <si>
    <t xml:space="preserve">Humans can meaningfully intervene</t>
  </si>
  <si>
    <t xml:space="preserve">Override capability; operator training</t>
  </si>
  <si>
    <t xml:space="preserve">Links to EU AI Act Art. 14</t>
  </si>
  <si>
    <t xml:space="preserve">Performance is monitored &amp; maintained</t>
  </si>
  <si>
    <t xml:space="preserve">Drift monitoring; fallback modes</t>
  </si>
  <si>
    <t xml:space="preserve">Links to ISO 42001 Clause 9.1</t>
  </si>
  <si>
    <t xml:space="preserve">Accessibility &amp; impacted groups considered</t>
  </si>
  <si>
    <t xml:space="preserve">Accessibility review; stakeholder mapping</t>
  </si>
  <si>
    <t xml:space="preserve">Beyond primary user population</t>
  </si>
  <si>
    <t xml:space="preserve">AI Guardrail Taxonomy</t>
  </si>
  <si>
    <t xml:space="preserve">Layer</t>
  </si>
  <si>
    <t xml:space="preserve">Example controls</t>
  </si>
  <si>
    <t xml:space="preserve">Input</t>
  </si>
  <si>
    <t xml:space="preserve">Control what reaches the model</t>
  </si>
  <si>
    <t xml:space="preserve">Prompt-injection detection, PII detection, rate limiting</t>
  </si>
  <si>
    <t xml:space="preserve">First line of defense</t>
  </si>
  <si>
    <t xml:space="preserve">Control model behavior</t>
  </si>
  <si>
    <t xml:space="preserve">Safety classifier, confidence thresholds, robustness testing</t>
  </si>
  <si>
    <t xml:space="preserve">Applies mainly to GenAI/LLM</t>
  </si>
  <si>
    <t xml:space="preserve">Output</t>
  </si>
  <si>
    <t xml:space="preserve">Control what leaves the system</t>
  </si>
  <si>
    <t xml:space="preserve">Content moderation, PII masking, citation checks</t>
  </si>
  <si>
    <t xml:space="preserve">Last chance before user/downstream</t>
  </si>
  <si>
    <t xml:space="preserve">Operational</t>
  </si>
  <si>
    <t xml:space="preserve">Control the running system</t>
  </si>
  <si>
    <t xml:space="preserve">RBAC, logging, kill switch, incident response</t>
  </si>
  <si>
    <t xml:space="preserve">Continuous / infrastructure layer</t>
  </si>
  <si>
    <t xml:space="preserve">Model Risk Management — Key Concepts (SR 11-7 baseline &amp; equivalents)</t>
  </si>
  <si>
    <t xml:space="preserve">Concept</t>
  </si>
  <si>
    <t xml:space="preserve">Meaning</t>
  </si>
  <si>
    <t xml:space="preserve">Audit relevance</t>
  </si>
  <si>
    <t xml:space="preserve">Three Lines of Defense</t>
  </si>
  <si>
    <t xml:space="preserve">1st: developers/owners; 2nd: validation/governance; 3rd: internal audit</t>
  </si>
  <si>
    <t xml:space="preserve">Structural independence</t>
  </si>
  <si>
    <t xml:space="preserve">Widely applied in banking</t>
  </si>
  <si>
    <t xml:space="preserve">Review of conceptual soundness, ongoing monitoring, outcomes analysis</t>
  </si>
  <si>
    <t xml:space="preserve">Separate from developers</t>
  </si>
  <si>
    <t xml:space="preserve">SR 11-7 Section II</t>
  </si>
  <si>
    <t xml:space="preserve">Qualified reviewers with authority to require changes</t>
  </si>
  <si>
    <t xml:space="preserve">Evidence of real challenge</t>
  </si>
  <si>
    <t xml:space="preserve">Not rubber-stamp approval</t>
  </si>
  <si>
    <t xml:space="preserve">Model Inventory</t>
  </si>
  <si>
    <t xml:space="preserve">Complete register of all models incl. AI &amp; vendor</t>
  </si>
  <si>
    <t xml:space="preserve">'We bought it' is not a defense</t>
  </si>
  <si>
    <t xml:space="preserve">Vendor models in scope</t>
  </si>
  <si>
    <t xml:space="preserve">Ongoing Monitoring</t>
  </si>
  <si>
    <t xml:space="preserve">Systematic evaluation of performance over time</t>
  </si>
  <si>
    <t xml:space="preserve">Drift triggers revalidation</t>
  </si>
  <si>
    <t xml:space="preserve">Extends to AI drift/explainability</t>
  </si>
</sst>
</file>

<file path=xl/styles.xml><?xml version="1.0" encoding="utf-8"?>
<styleSheet xmlns="http://schemas.openxmlformats.org/spreadsheetml/2006/main">
  <numFmts count="5">
    <numFmt numFmtId="164" formatCode="General"/>
    <numFmt numFmtId="165" formatCode="General"/>
    <numFmt numFmtId="166" formatCode="0.0"/>
    <numFmt numFmtId="167" formatCode="0.0%"/>
    <numFmt numFmtId="168" formatCode="0%"/>
  </numFmts>
  <fonts count="44">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3"/>
      <color rgb="FFFFFFFF"/>
      <name val="Arial"/>
      <family val="0"/>
      <charset val="1"/>
    </font>
    <font>
      <b val="true"/>
      <sz val="12"/>
      <color rgb="FF1F2A44"/>
      <name val="Arial"/>
      <family val="0"/>
      <charset val="1"/>
    </font>
    <font>
      <sz val="11"/>
      <color rgb="FF222222"/>
      <name val="Arial"/>
      <family val="0"/>
      <charset val="1"/>
    </font>
    <font>
      <b val="true"/>
      <sz val="10"/>
      <name val="Arial"/>
      <family val="0"/>
      <charset val="1"/>
    </font>
    <font>
      <b val="true"/>
      <sz val="9.5"/>
      <name val="Arial"/>
      <family val="0"/>
      <charset val="1"/>
    </font>
    <font>
      <sz val="9.5"/>
      <name val="Arial"/>
      <family val="0"/>
      <charset val="1"/>
    </font>
    <font>
      <b val="true"/>
      <sz val="10"/>
      <color rgb="FFC0392B"/>
      <name val="Arial"/>
      <family val="0"/>
      <charset val="1"/>
    </font>
    <font>
      <b val="true"/>
      <sz val="11"/>
      <color rgb="FF1F2A44"/>
      <name val="Arial"/>
      <family val="0"/>
      <charset val="1"/>
    </font>
    <font>
      <sz val="11"/>
      <name val="Arial"/>
      <family val="0"/>
      <charset val="1"/>
    </font>
    <font>
      <b val="true"/>
      <sz val="12"/>
      <color rgb="FF5B2C8D"/>
      <name val="Arial"/>
      <family val="0"/>
      <charset val="1"/>
    </font>
    <font>
      <sz val="10"/>
      <color rgb="FF0000FF"/>
      <name val="Arial"/>
      <family val="0"/>
      <charset val="1"/>
    </font>
    <font>
      <sz val="9"/>
      <name val="Arial"/>
      <family val="0"/>
      <charset val="1"/>
    </font>
    <font>
      <b val="true"/>
      <sz val="16"/>
      <color rgb="FFFFFFFF"/>
      <name val="Arial"/>
      <family val="0"/>
      <charset val="1"/>
    </font>
    <font>
      <b val="true"/>
      <sz val="11"/>
      <color rgb="FFFFFFFF"/>
      <name val="Arial"/>
      <family val="0"/>
      <charset val="1"/>
    </font>
    <font>
      <b val="true"/>
      <sz val="9"/>
      <name val="Arial"/>
      <family val="0"/>
      <charset val="1"/>
    </font>
    <font>
      <b val="true"/>
      <sz val="10"/>
      <color rgb="FFFFFFFF"/>
      <name val="Arial"/>
      <family val="0"/>
      <charset val="1"/>
    </font>
    <font>
      <sz val="9.5"/>
      <color rgb="FF0000FF"/>
      <name val="Arial"/>
      <family val="0"/>
      <charset val="1"/>
    </font>
    <font>
      <i val="true"/>
      <sz val="9"/>
      <color rgb="FF666666"/>
      <name val="Arial"/>
      <family val="0"/>
      <charset val="1"/>
    </font>
    <font>
      <b val="true"/>
      <sz val="14"/>
      <color rgb="FFFFFFFF"/>
      <name val="Arial"/>
      <family val="0"/>
      <charset val="1"/>
    </font>
    <font>
      <b val="true"/>
      <sz val="10.5"/>
      <name val="Arial"/>
      <family val="0"/>
      <charset val="1"/>
    </font>
    <font>
      <sz val="10.5"/>
      <name val="Arial"/>
      <family val="0"/>
      <charset val="1"/>
    </font>
    <font>
      <b val="true"/>
      <sz val="22"/>
      <color rgb="FF1F2A44"/>
      <name val="Arial"/>
      <family val="0"/>
      <charset val="1"/>
    </font>
    <font>
      <b val="true"/>
      <sz val="10.5"/>
      <color rgb="FFC0392B"/>
      <name val="Arial"/>
      <family val="0"/>
      <charset val="1"/>
    </font>
    <font>
      <b val="true"/>
      <sz val="12"/>
      <color rgb="FFFFFFFF"/>
      <name val="Arial"/>
      <family val="0"/>
      <charset val="1"/>
    </font>
    <font>
      <sz val="10"/>
      <name val="Arial"/>
      <family val="0"/>
      <charset val="1"/>
    </font>
    <font>
      <sz val="10"/>
      <color rgb="FF000000"/>
      <name val="Arial"/>
      <family val="0"/>
      <charset val="1"/>
    </font>
    <font>
      <i val="true"/>
      <sz val="9"/>
      <color rgb="FF27AE60"/>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27AE60"/>
      <name val="Arial"/>
      <family val="0"/>
      <charset val="1"/>
    </font>
    <font>
      <b val="true"/>
      <sz val="9"/>
      <color rgb="FFFFFFFF"/>
      <name val="Arial"/>
      <family val="0"/>
      <charset val="1"/>
    </font>
    <font>
      <b val="true"/>
      <sz val="10"/>
      <color rgb="FFFFFF00"/>
      <name val="Arial"/>
      <family val="0"/>
      <charset val="1"/>
    </font>
    <font>
      <b val="true"/>
      <sz val="10"/>
      <color rgb="FF1F2A44"/>
      <name val="Arial"/>
      <family val="0"/>
      <charset val="1"/>
    </font>
    <font>
      <i val="true"/>
      <sz val="9"/>
      <color rgb="FF999999"/>
      <name val="Arial"/>
      <family val="0"/>
      <charset val="1"/>
    </font>
    <font>
      <b val="true"/>
      <sz val="16"/>
      <color rgb="FF1F2A44"/>
      <name val="Arial"/>
      <family val="0"/>
      <charset val="1"/>
    </font>
    <font>
      <i val="true"/>
      <sz val="10"/>
      <color rgb="FF666666"/>
      <name val="Arial"/>
      <family val="0"/>
      <charset val="1"/>
    </font>
    <font>
      <i val="true"/>
      <sz val="9"/>
      <color rgb="FFC0392B"/>
      <name val="Arial"/>
      <family val="0"/>
      <charset val="1"/>
    </font>
  </fonts>
  <fills count="12">
    <fill>
      <patternFill patternType="none"/>
    </fill>
    <fill>
      <patternFill patternType="gray125"/>
    </fill>
    <fill>
      <patternFill patternType="solid">
        <fgColor rgb="FF1F2A44"/>
        <bgColor rgb="FF222222"/>
      </patternFill>
    </fill>
    <fill>
      <patternFill patternType="solid">
        <fgColor rgb="FF5B2C8D"/>
        <bgColor rgb="FF660066"/>
      </patternFill>
    </fill>
    <fill>
      <patternFill patternType="solid">
        <fgColor rgb="FFEDE4F6"/>
        <bgColor rgb="FFF0EAF8"/>
      </patternFill>
    </fill>
    <fill>
      <patternFill patternType="solid">
        <fgColor rgb="FFFFF9E6"/>
        <bgColor rgb="FFFBF1E6"/>
      </patternFill>
    </fill>
    <fill>
      <patternFill patternType="solid">
        <fgColor rgb="FFF5F5F5"/>
        <bgColor rgb="FFEAF6F0"/>
      </patternFill>
    </fill>
    <fill>
      <patternFill patternType="solid">
        <fgColor rgb="FFF0EAF8"/>
        <bgColor rgb="FFEDE4F6"/>
      </patternFill>
    </fill>
    <fill>
      <patternFill patternType="solid">
        <fgColor rgb="FFE9F0F8"/>
        <bgColor rgb="FFEAF6F0"/>
      </patternFill>
    </fill>
    <fill>
      <patternFill patternType="solid">
        <fgColor rgb="FFEAF6F0"/>
        <bgColor rgb="FFE9F0F8"/>
      </patternFill>
    </fill>
    <fill>
      <patternFill patternType="solid">
        <fgColor rgb="FFFBF1E6"/>
        <bgColor rgb="FFFDECEA"/>
      </patternFill>
    </fill>
    <fill>
      <patternFill patternType="solid">
        <fgColor rgb="FFFDECEA"/>
        <bgColor rgb="FFFBF1E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true" applyProtection="false">
      <alignment horizontal="general" vertical="center" textRotation="0" wrapText="false" indent="1" shrinkToFit="false"/>
      <protection locked="true" hidden="false"/>
    </xf>
    <xf numFmtId="164" fontId="18" fillId="3"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0" fillId="2" borderId="0"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general" vertical="center" textRotation="0" wrapText="false" indent="1"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true" applyAlignment="true" applyProtection="false">
      <alignment horizontal="center" vertical="bottom" textRotation="0" wrapText="false" indent="0" shrinkToFit="false"/>
      <protection locked="true" hidden="false"/>
    </xf>
    <xf numFmtId="166" fontId="26" fillId="0" borderId="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3" borderId="0" xfId="0" applyFont="true" applyBorder="true" applyAlignment="true" applyProtection="false">
      <alignment horizontal="general" vertical="bottom" textRotation="0" wrapText="false" indent="0" shrinkToFit="false"/>
      <protection locked="true" hidden="false"/>
    </xf>
    <xf numFmtId="164" fontId="29" fillId="0" borderId="1" xfId="0" applyFont="tru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5" fontId="30" fillId="0" borderId="1" xfId="0" applyFont="true" applyBorder="tru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general" vertical="bottom" textRotation="0" wrapText="false" indent="0" shrinkToFit="false"/>
      <protection locked="true" hidden="false"/>
    </xf>
    <xf numFmtId="168" fontId="30" fillId="0"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6" fontId="30"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center" vertical="bottom" textRotation="0" wrapText="tru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5" fontId="29" fillId="0" borderId="1"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0" fillId="8" borderId="1" xfId="0" applyFont="true" applyBorder="true" applyAlignment="true" applyProtection="false">
      <alignment horizontal="center" vertical="top" textRotation="0" wrapText="false" indent="0" shrinkToFit="false"/>
      <protection locked="true" hidden="false"/>
    </xf>
    <xf numFmtId="164" fontId="10" fillId="9" borderId="1" xfId="0" applyFont="true" applyBorder="true" applyAlignment="true" applyProtection="false">
      <alignment horizontal="center" vertical="top" textRotation="0" wrapText="false" indent="0" shrinkToFit="false"/>
      <protection locked="true" hidden="false"/>
    </xf>
    <xf numFmtId="164" fontId="10" fillId="10" borderId="1" xfId="0" applyFont="true" applyBorder="true" applyAlignment="true" applyProtection="false">
      <alignment horizontal="center" vertical="top"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8" fontId="38" fillId="0" borderId="0" xfId="0" applyFont="true" applyBorder="false" applyAlignment="tru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8" borderId="1" xfId="0" applyFont="true" applyBorder="true" applyAlignment="true" applyProtection="false">
      <alignment horizontal="left" vertical="top" textRotation="0" wrapText="false" indent="0" shrinkToFit="false"/>
      <protection locked="true" hidden="false"/>
    </xf>
    <xf numFmtId="164" fontId="10" fillId="11" borderId="1" xfId="0" applyFont="true" applyBorder="true" applyAlignment="true" applyProtection="false">
      <alignment horizontal="center" vertical="top" textRotation="0" wrapText="false" indent="0" shrinkToFit="false"/>
      <protection locked="true" hidden="false"/>
    </xf>
    <xf numFmtId="164" fontId="10" fillId="11" borderId="1" xfId="0" applyFont="true" applyBorder="true" applyAlignment="true" applyProtection="false">
      <alignment horizontal="left" vertical="top" textRotation="0" wrapText="false" indent="0" shrinkToFit="false"/>
      <protection locked="true" hidden="false"/>
    </xf>
    <xf numFmtId="164" fontId="10" fillId="9" borderId="1" xfId="0" applyFont="true" applyBorder="true" applyAlignment="true" applyProtection="false">
      <alignment horizontal="left" vertical="top" textRotation="0" wrapText="false" indent="0" shrinkToFit="false"/>
      <protection locked="true" hidden="false"/>
    </xf>
    <xf numFmtId="164" fontId="10" fillId="10" borderId="1" xfId="0" applyFont="true" applyBorder="true" applyAlignment="true" applyProtection="false">
      <alignment horizontal="left" vertical="top" textRotation="0" wrapText="false" indent="0" shrinkToFit="false"/>
      <protection locked="true" hidden="false"/>
    </xf>
    <xf numFmtId="164" fontId="10" fillId="6" borderId="1" xfId="0" applyFont="true" applyBorder="true" applyAlignment="true" applyProtection="false">
      <alignment horizontal="center" vertical="top" textRotation="0" wrapText="false" indent="0" shrinkToFit="false"/>
      <protection locked="true" hidden="false"/>
    </xf>
    <xf numFmtId="164" fontId="10" fillId="6" borderId="1" xfId="0" applyFont="true" applyBorder="true" applyAlignment="true" applyProtection="false">
      <alignment horizontal="left" vertical="top" textRotation="0" wrapText="false" indent="0" shrinkToFit="false"/>
      <protection locked="true" hidden="false"/>
    </xf>
    <xf numFmtId="164" fontId="39" fillId="4"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6" fontId="30" fillId="0" borderId="1" xfId="0" applyFont="true" applyBorder="true" applyAlignment="true" applyProtection="false">
      <alignment horizontal="center"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64" fontId="28" fillId="2" borderId="0" xfId="0" applyFont="true" applyBorder="true" applyAlignment="true" applyProtection="false">
      <alignment horizontal="general" vertical="bottom" textRotation="0" wrapText="false" indent="0" shrinkToFit="false"/>
      <protection locked="true" hidden="false"/>
    </xf>
    <xf numFmtId="166" fontId="41"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true" applyAlignment="true" applyProtection="false">
      <alignment horizontal="general" vertical="bottom" textRotation="0" wrapText="false" indent="0" shrinkToFit="false"/>
      <protection locked="true" hidden="false"/>
    </xf>
    <xf numFmtId="164" fontId="28" fillId="3"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b val="1"/>
        <color rgb="FF000000"/>
      </font>
      <fill>
        <patternFill>
          <bgColor rgb="FFD5D8DC"/>
        </patternFill>
      </fill>
    </dxf>
    <dxf>
      <font>
        <b val="1"/>
        <color rgb="FF000000"/>
      </font>
      <fill>
        <patternFill>
          <bgColor rgb="FF5DADE2"/>
        </patternFill>
      </fill>
    </dxf>
    <dxf>
      <font>
        <b val="1"/>
        <color rgb="FF000000"/>
      </font>
      <fill>
        <patternFill>
          <bgColor rgb="FF58D68D"/>
        </patternFill>
      </fill>
    </dxf>
    <dxf>
      <font>
        <b val="1"/>
        <color rgb="FFFFFFFF"/>
      </font>
      <fill>
        <patternFill>
          <bgColor rgb="FFC0392B"/>
        </patternFill>
      </fill>
    </dxf>
    <dxf>
      <font>
        <b val="1"/>
        <color rgb="FFFFFFFF"/>
      </font>
      <fill>
        <patternFill>
          <bgColor rgb="FF58D68D"/>
        </patternFill>
      </fill>
    </dxf>
    <dxf>
      <font>
        <b val="1"/>
        <color rgb="FF000000"/>
      </font>
      <fill>
        <patternFill>
          <bgColor rgb="FFF5B041"/>
        </patternFill>
      </fill>
    </dxf>
    <dxf>
      <font>
        <b val="1"/>
        <color rgb="FFFFFFFF"/>
      </font>
      <fill>
        <patternFill>
          <bgColor rgb="FFE67E22"/>
        </patternFill>
      </fill>
    </dxf>
    <dxf>
      <font>
        <b val="1"/>
        <color rgb="FF000000"/>
      </font>
      <fill>
        <patternFill>
          <bgColor rgb="FFF1C40F"/>
        </patternFill>
      </fill>
    </dxf>
    <dxf>
      <font>
        <b val="1"/>
        <color rgb="FFFFFFFF"/>
      </font>
      <fill>
        <patternFill>
          <bgColor rgb="FF27AE60"/>
        </patternFill>
      </fill>
    </dxf>
    <dxf>
      <fill>
        <patternFill>
          <bgColor rgb="FFD5D8DC"/>
        </patternFill>
      </fill>
    </dxf>
    <dxf>
      <fill>
        <patternFill>
          <bgColor rgb="FF5DADE2"/>
        </patternFill>
      </fill>
    </dxf>
    <dxf>
      <fill>
        <patternFill>
          <bgColor rgb="FFF5B041"/>
        </patternFill>
      </fill>
    </dxf>
    <dxf>
      <fill>
        <patternFill>
          <bgColor rgb="FF58D68D"/>
        </patternFill>
      </fill>
    </dxf>
    <dxf>
      <fill>
        <patternFill>
          <bgColor rgb="FFBFC9CA"/>
        </patternFill>
      </fill>
    </dxf>
    <dxf>
      <font>
        <b val="1"/>
        <color rgb="FFFFFFFF"/>
      </font>
      <fill>
        <patternFill>
          <bgColor rgb="FFBFC9CA"/>
        </patternFill>
      </fill>
    </dxf>
    <dxf>
      <font>
        <b val="1"/>
        <color rgb="FF000000"/>
      </font>
      <fill>
        <patternFill>
          <bgColor rgb="FFBFC9CA"/>
        </patternFill>
      </fill>
    </dxf>
    <dxf>
      <font>
        <b val="1"/>
        <color rgb="FF000000"/>
      </font>
      <fill>
        <patternFill>
          <bgColor rgb="FF27AE60"/>
        </patternFill>
      </fill>
    </dxf>
    <dxf>
      <font>
        <b val="1"/>
      </font>
      <fill>
        <patternFill>
          <bgColor rgb="FF58D68D"/>
        </patternFill>
      </fill>
    </dxf>
    <dxf>
      <font>
        <b val="1"/>
      </font>
      <fill>
        <patternFill>
          <bgColor rgb="FFF5B041"/>
        </patternFill>
      </fill>
    </dxf>
    <dxf>
      <font>
        <b val="1"/>
      </font>
      <fill>
        <patternFill>
          <bgColor rgb="FFD5D8DC"/>
        </patternFill>
      </fill>
    </dxf>
    <dxf>
      <font>
        <b val="1"/>
      </font>
      <fill>
        <patternFill>
          <bgColor rgb="FFBFC9CA"/>
        </patternFill>
      </fill>
    </dxf>
    <dxf>
      <font>
        <b val="1"/>
      </font>
      <fill>
        <patternFill>
          <bgColor rgb="FF5DADE2"/>
        </patternFill>
      </fill>
    </dxf>
    <dxf>
      <font>
        <b val="1"/>
      </font>
      <fill>
        <patternFill>
          <bgColor rgb="FFE67E2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BFC9CA"/>
      <rgbColor rgb="FF878787"/>
      <rgbColor rgb="FF5DADE2"/>
      <rgbColor rgb="FFC0504D"/>
      <rgbColor rgb="FFFFF9E6"/>
      <rgbColor rgb="FFEAF6F0"/>
      <rgbColor rgb="FF660066"/>
      <rgbColor rgb="FFF0EAF8"/>
      <rgbColor rgb="FF0066CC"/>
      <rgbColor rgb="FFD5D8DC"/>
      <rgbColor rgb="FF000080"/>
      <rgbColor rgb="FFFF00FF"/>
      <rgbColor rgb="FFFDECEA"/>
      <rgbColor rgb="FF00FFFF"/>
      <rgbColor rgb="FF800080"/>
      <rgbColor rgb="FF800000"/>
      <rgbColor rgb="FF008080"/>
      <rgbColor rgb="FF0000FF"/>
      <rgbColor rgb="FF00CCFF"/>
      <rgbColor rgb="FFE9F0F8"/>
      <rgbColor rgb="FFF5F5F5"/>
      <rgbColor rgb="FFFBF1E6"/>
      <rgbColor rgb="FFCCCCCC"/>
      <rgbColor rgb="FFEDE4F6"/>
      <rgbColor rgb="FFB3B3B3"/>
      <rgbColor rgb="FFD9D9D9"/>
      <rgbColor rgb="FF4F81BD"/>
      <rgbColor rgb="FF58D68D"/>
      <rgbColor rgb="FF9BBB59"/>
      <rgbColor rgb="FFF1C40F"/>
      <rgbColor rgb="FFF5B041"/>
      <rgbColor rgb="FFE67E22"/>
      <rgbColor rgb="FF8064A2"/>
      <rgbColor rgb="FF999999"/>
      <rgbColor rgb="FF003366"/>
      <rgbColor rgb="FF27AE60"/>
      <rgbColor rgb="FF003300"/>
      <rgbColor rgb="FF222222"/>
      <rgbColor rgb="FFC0392B"/>
      <rgbColor rgb="FF993366"/>
      <rgbColor rgb="FF5B2C8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NIST Requirements by Domain</a:t>
            </a:r>
          </a:p>
        </c:rich>
      </c:tx>
      <c:overlay val="0"/>
      <c:spPr>
        <a:noFill/>
        <a:ln w="0">
          <a:noFill/>
        </a:ln>
      </c:spPr>
    </c:title>
    <c:autoTitleDeleted val="0"/>
    <c:plotArea>
      <c:barChart>
        <c:barDir val="col"/>
        <c:grouping val="clustered"/>
        <c:varyColors val="0"/>
        <c:ser>
          <c:idx val="0"/>
          <c:order val="0"/>
          <c:tx>
            <c:strRef>
              <c:f>Dashboard!B12</c:f>
              <c:strCache>
                <c:ptCount val="1"/>
                <c:pt idx="0">
                  <c:v># Requirements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Dashboard!$A$13:$A$16</c:f>
              <c:strCache>
                <c:ptCount val="4"/>
                <c:pt idx="0">
                  <c:v>Governance &amp; Policy</c:v>
                </c:pt>
                <c:pt idx="1">
                  <c:v>Risk Identification (Map)</c:v>
                </c:pt>
                <c:pt idx="2">
                  <c:v>Testing &amp; Measurement (Measure)</c:v>
                </c:pt>
                <c:pt idx="3">
                  <c:v>Risk Treatment (Manage)</c:v>
                </c:pt>
              </c:strCache>
            </c:strRef>
          </c:cat>
          <c:val>
            <c:numRef>
              <c:f>Dashboard!$B$13:$B$16</c:f>
              <c:numCache>
                <c:formatCode>General</c:formatCode>
                <c:ptCount val="4"/>
                <c:pt idx="0">
                  <c:v>19</c:v>
                </c:pt>
                <c:pt idx="1">
                  <c:v>18</c:v>
                </c:pt>
                <c:pt idx="2">
                  <c:v>22</c:v>
                </c:pt>
                <c:pt idx="3">
                  <c:v>13</c:v>
                </c:pt>
              </c:numCache>
            </c:numRef>
          </c:val>
        </c:ser>
        <c:gapWidth val="150"/>
        <c:overlap val="0"/>
        <c:axId val="13304212"/>
        <c:axId val="11067527"/>
      </c:barChart>
      <c:catAx>
        <c:axId val="1330421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067527"/>
        <c:crosses val="autoZero"/>
        <c:auto val="1"/>
        <c:lblAlgn val="ctr"/>
        <c:lblOffset val="100"/>
        <c:noMultiLvlLbl val="0"/>
      </c:catAx>
      <c:valAx>
        <c:axId val="110675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3042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NIST Requirements by Risk Rating</a:t>
            </a:r>
          </a:p>
        </c:rich>
      </c:tx>
      <c:overlay val="0"/>
      <c:spPr>
        <a:noFill/>
        <a:ln w="0">
          <a:noFill/>
        </a:ln>
      </c:spPr>
    </c:title>
    <c:autoTitleDeleted val="0"/>
    <c:plotArea>
      <c:pieChart>
        <c:varyColors val="1"/>
        <c:ser>
          <c:idx val="0"/>
          <c:order val="0"/>
          <c:tx>
            <c:strRef>
              <c:f>Dashboard!B27</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Dashboard!$A$28:$A$31</c:f>
              <c:strCache>
                <c:ptCount val="4"/>
                <c:pt idx="0">
                  <c:v>Critical</c:v>
                </c:pt>
                <c:pt idx="1">
                  <c:v>High</c:v>
                </c:pt>
                <c:pt idx="2">
                  <c:v>Medium</c:v>
                </c:pt>
                <c:pt idx="3">
                  <c:v>Low</c:v>
                </c:pt>
              </c:strCache>
            </c:strRef>
          </c:cat>
          <c:val>
            <c:numRef>
              <c:f>Dashboard!$B$28:$B$31</c:f>
              <c:numCache>
                <c:formatCode>General</c:formatCode>
                <c:ptCount val="4"/>
                <c:pt idx="0">
                  <c:v>1</c:v>
                </c:pt>
                <c:pt idx="1">
                  <c:v>2</c:v>
                </c:pt>
                <c:pt idx="2">
                  <c:v>2</c:v>
                </c:pt>
                <c:pt idx="3">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 Governance Maturity — Current vs Target</a:t>
            </a:r>
          </a:p>
        </c:rich>
      </c:tx>
      <c:overlay val="0"/>
      <c:spPr>
        <a:noFill/>
        <a:ln w="0">
          <a:noFill/>
        </a:ln>
      </c:spPr>
    </c:title>
    <c:autoTitleDeleted val="0"/>
    <c:plotArea>
      <c:radarChart>
        <c:radarStyle val="filled"/>
        <c:varyColors val="0"/>
        <c:ser>
          <c:idx val="0"/>
          <c:order val="0"/>
          <c:tx>
            <c:strRef>
              <c:f>'Maturity Assessment'!B2</c:f>
              <c:strCache>
                <c:ptCount val="1"/>
                <c:pt idx="0">
                  <c:v>Current Level (1-5)</c:v>
                </c:pt>
              </c:strCache>
            </c:strRef>
          </c:tx>
          <c:spPr>
            <a:solidFill>
              <a:srgbClr val="4f81bd"/>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'Maturity Assessment'!$A$3:$A$12</c:f>
              <c:strCache>
                <c:ptCount val="10"/>
                <c:pt idx="0">
                  <c:v>Governance</c:v>
                </c:pt>
                <c:pt idx="1">
                  <c:v>Risk Management</c:v>
                </c:pt>
                <c:pt idx="2">
                  <c:v>Data Governance</c:v>
                </c:pt>
                <c:pt idx="3">
                  <c:v>Model Governance</c:v>
                </c:pt>
                <c:pt idx="4">
                  <c:v>Security</c:v>
                </c:pt>
                <c:pt idx="5">
                  <c:v>Responsible AI</c:v>
                </c:pt>
                <c:pt idx="6">
                  <c:v>Monitoring</c:v>
                </c:pt>
                <c:pt idx="7">
                  <c:v>Program Management</c:v>
                </c:pt>
                <c:pt idx="8">
                  <c:v>Third-Party/Vendor</c:v>
                </c:pt>
                <c:pt idx="9">
                  <c:v>Incident Response</c:v>
                </c:pt>
              </c:strCache>
            </c:strRef>
          </c:cat>
          <c:val>
            <c:numRef>
              <c:f>'Maturity Assessment'!$B$3:$B$12</c:f>
              <c:numCache>
                <c:formatCode>General</c:formatCode>
                <c:ptCount val="10"/>
                <c:pt idx="0">
                  <c:v>2</c:v>
                </c:pt>
                <c:pt idx="1">
                  <c:v>3</c:v>
                </c:pt>
                <c:pt idx="2">
                  <c:v>2</c:v>
                </c:pt>
                <c:pt idx="3">
                  <c:v>3</c:v>
                </c:pt>
                <c:pt idx="4">
                  <c:v>3</c:v>
                </c:pt>
                <c:pt idx="5">
                  <c:v>2</c:v>
                </c:pt>
                <c:pt idx="6">
                  <c:v>3</c:v>
                </c:pt>
                <c:pt idx="7">
                  <c:v>3</c:v>
                </c:pt>
                <c:pt idx="8">
                  <c:v>2</c:v>
                </c:pt>
                <c:pt idx="9">
                  <c:v>2</c:v>
                </c:pt>
              </c:numCache>
            </c:numRef>
          </c:val>
        </c:ser>
        <c:ser>
          <c:idx val="1"/>
          <c:order val="1"/>
          <c:tx>
            <c:strRef>
              <c:f>'Maturity Assessment'!C2</c:f>
              <c:strCache>
                <c:ptCount val="1"/>
                <c:pt idx="0">
                  <c:v>Target Level (1-5)</c:v>
                </c:pt>
              </c:strCache>
            </c:strRef>
          </c:tx>
          <c:spPr>
            <a:solidFill>
              <a:srgbClr val="c0504d"/>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'Maturity Assessment'!$A$3:$A$12</c:f>
              <c:strCache>
                <c:ptCount val="10"/>
                <c:pt idx="0">
                  <c:v>Governance</c:v>
                </c:pt>
                <c:pt idx="1">
                  <c:v>Risk Management</c:v>
                </c:pt>
                <c:pt idx="2">
                  <c:v>Data Governance</c:v>
                </c:pt>
                <c:pt idx="3">
                  <c:v>Model Governance</c:v>
                </c:pt>
                <c:pt idx="4">
                  <c:v>Security</c:v>
                </c:pt>
                <c:pt idx="5">
                  <c:v>Responsible AI</c:v>
                </c:pt>
                <c:pt idx="6">
                  <c:v>Monitoring</c:v>
                </c:pt>
                <c:pt idx="7">
                  <c:v>Program Management</c:v>
                </c:pt>
                <c:pt idx="8">
                  <c:v>Third-Party/Vendor</c:v>
                </c:pt>
                <c:pt idx="9">
                  <c:v>Incident Response</c:v>
                </c:pt>
              </c:strCache>
            </c:strRef>
          </c:cat>
          <c:val>
            <c:numRef>
              <c:f>'Maturity Assessment'!$C$3:$C$12</c:f>
              <c:numCache>
                <c:formatCode>General</c:formatCode>
                <c:ptCount val="10"/>
                <c:pt idx="0">
                  <c:v>4</c:v>
                </c:pt>
                <c:pt idx="1">
                  <c:v>4</c:v>
                </c:pt>
                <c:pt idx="2">
                  <c:v>4</c:v>
                </c:pt>
                <c:pt idx="3">
                  <c:v>5</c:v>
                </c:pt>
                <c:pt idx="4">
                  <c:v>4</c:v>
                </c:pt>
                <c:pt idx="5">
                  <c:v>4</c:v>
                </c:pt>
                <c:pt idx="6">
                  <c:v>4</c:v>
                </c:pt>
                <c:pt idx="7">
                  <c:v>4</c:v>
                </c:pt>
                <c:pt idx="8">
                  <c:v>4</c:v>
                </c:pt>
                <c:pt idx="9">
                  <c:v>4</c:v>
                </c:pt>
              </c:numCache>
            </c:numRef>
          </c:val>
        </c:ser>
        <c:axId val="42595783"/>
        <c:axId val="14405494"/>
      </c:radarChart>
      <c:catAx>
        <c:axId val="42595783"/>
        <c:scaling>
          <c:orientation val="maxMin"/>
        </c:scaling>
        <c:delete val="0"/>
        <c:axPos val="b"/>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4405494"/>
        <c:crosses val="autoZero"/>
        <c:auto val="1"/>
        <c:lblAlgn val="ctr"/>
        <c:lblOffset val="100"/>
        <c:noMultiLvlLbl val="0"/>
      </c:catAx>
      <c:valAx>
        <c:axId val="1440549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259578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13</xdr:col>
      <xdr:colOff>144360</xdr:colOff>
      <xdr:row>17</xdr:row>
      <xdr:rowOff>19080</xdr:rowOff>
    </xdr:to>
    <xdr:graphicFrame>
      <xdr:nvGraphicFramePr>
        <xdr:cNvPr id="0" name="Chart 1"/>
        <xdr:cNvGraphicFramePr/>
      </xdr:nvGraphicFramePr>
      <xdr:xfrm>
        <a:off x="6391440" y="514440"/>
        <a:ext cx="5036400" cy="287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0</xdr:rowOff>
    </xdr:from>
    <xdr:to>
      <xdr:col>13</xdr:col>
      <xdr:colOff>144360</xdr:colOff>
      <xdr:row>32</xdr:row>
      <xdr:rowOff>18720</xdr:rowOff>
    </xdr:to>
    <xdr:graphicFrame>
      <xdr:nvGraphicFramePr>
        <xdr:cNvPr id="1" name="Chart 2"/>
        <xdr:cNvGraphicFramePr/>
      </xdr:nvGraphicFramePr>
      <xdr:xfrm>
        <a:off x="6391440" y="3371760"/>
        <a:ext cx="5036400" cy="287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15</xdr:col>
      <xdr:colOff>253800</xdr:colOff>
      <xdr:row>22</xdr:row>
      <xdr:rowOff>66960</xdr:rowOff>
    </xdr:to>
    <xdr:graphicFrame>
      <xdr:nvGraphicFramePr>
        <xdr:cNvPr id="2" name="Chart 1"/>
        <xdr:cNvGraphicFramePr/>
      </xdr:nvGraphicFramePr>
      <xdr:xfrm>
        <a:off x="9586080" y="304920"/>
        <a:ext cx="5757120" cy="4314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3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0"/>
  </cols>
  <sheetData>
    <row r="2" customFormat="false" ht="31.5" hidden="false" customHeight="true" outlineLevel="0" collapsed="false">
      <c r="A2" s="2" t="s">
        <v>0</v>
      </c>
      <c r="B2" s="2"/>
      <c r="C2" s="2"/>
      <c r="D2" s="2"/>
      <c r="E2" s="2"/>
      <c r="F2" s="2"/>
      <c r="G2" s="2"/>
      <c r="H2" s="2"/>
    </row>
    <row r="3" customFormat="false" ht="25.5" hidden="false" customHeight="true" outlineLevel="0" collapsed="false">
      <c r="A3" s="3" t="s">
        <v>1</v>
      </c>
      <c r="B3" s="3"/>
      <c r="C3" s="3"/>
      <c r="D3" s="3"/>
      <c r="E3" s="3"/>
      <c r="F3" s="3"/>
      <c r="G3" s="3"/>
      <c r="H3" s="3"/>
    </row>
    <row r="5" customFormat="false" ht="15.75" hidden="false" customHeight="true" outlineLevel="0" collapsed="false">
      <c r="B5" s="4" t="s">
        <v>2</v>
      </c>
      <c r="C5" s="4"/>
      <c r="D5" s="4"/>
      <c r="E5" s="4"/>
      <c r="F5" s="4"/>
      <c r="G5" s="4"/>
      <c r="H5" s="4"/>
    </row>
    <row r="6" customFormat="false" ht="63.75" hidden="false" customHeight="true" outlineLevel="0" collapsed="false">
      <c r="B6" s="5" t="s">
        <v>3</v>
      </c>
      <c r="C6" s="5"/>
      <c r="D6" s="5"/>
      <c r="E6" s="5"/>
      <c r="F6" s="5"/>
      <c r="G6" s="5"/>
      <c r="H6" s="5"/>
    </row>
    <row r="8" customFormat="false" ht="15.75" hidden="false" customHeight="true" outlineLevel="0" collapsed="false">
      <c r="B8" s="4" t="s">
        <v>4</v>
      </c>
      <c r="C8" s="4"/>
      <c r="D8" s="4"/>
      <c r="E8" s="4"/>
      <c r="F8" s="4"/>
      <c r="G8" s="4"/>
      <c r="H8" s="4"/>
    </row>
    <row r="9" customFormat="false" ht="63.75" hidden="false" customHeight="true" outlineLevel="0" collapsed="false">
      <c r="B9" s="5" t="s">
        <v>5</v>
      </c>
      <c r="C9" s="5"/>
      <c r="D9" s="5"/>
      <c r="E9" s="5"/>
      <c r="F9" s="5"/>
      <c r="G9" s="5"/>
      <c r="H9" s="5"/>
    </row>
    <row r="11" customFormat="false" ht="15.75" hidden="false" customHeight="true" outlineLevel="0" collapsed="false">
      <c r="B11" s="4" t="s">
        <v>6</v>
      </c>
      <c r="C11" s="4"/>
      <c r="D11" s="4"/>
      <c r="E11" s="4"/>
      <c r="F11" s="4"/>
      <c r="G11" s="4"/>
      <c r="H11" s="4"/>
    </row>
    <row r="12" customFormat="false" ht="15.75" hidden="false" customHeight="true" outlineLevel="0" collapsed="false">
      <c r="B12" s="5" t="s">
        <v>7</v>
      </c>
      <c r="C12" s="5"/>
      <c r="D12" s="5"/>
      <c r="E12" s="5"/>
      <c r="F12" s="5"/>
      <c r="G12" s="5"/>
      <c r="H12" s="5"/>
    </row>
    <row r="13" customFormat="false" ht="15.75" hidden="false" customHeight="true" outlineLevel="0" collapsed="false">
      <c r="B13" s="5" t="s">
        <v>8</v>
      </c>
      <c r="C13" s="5"/>
      <c r="D13" s="5"/>
      <c r="E13" s="5"/>
      <c r="F13" s="5"/>
      <c r="G13" s="5"/>
      <c r="H13" s="5"/>
    </row>
    <row r="14" customFormat="false" ht="15.75" hidden="false" customHeight="true" outlineLevel="0" collapsed="false">
      <c r="B14" s="5" t="s">
        <v>9</v>
      </c>
      <c r="C14" s="5"/>
      <c r="D14" s="5"/>
      <c r="E14" s="5"/>
      <c r="F14" s="5"/>
      <c r="G14" s="5"/>
      <c r="H14" s="5"/>
    </row>
    <row r="15" customFormat="false" ht="15.75" hidden="false" customHeight="true" outlineLevel="0" collapsed="false">
      <c r="B15" s="5" t="s">
        <v>10</v>
      </c>
      <c r="C15" s="5"/>
      <c r="D15" s="5"/>
      <c r="E15" s="5"/>
      <c r="F15" s="5"/>
      <c r="G15" s="5"/>
      <c r="H15" s="5"/>
    </row>
    <row r="16" customFormat="false" ht="15.75" hidden="false" customHeight="true" outlineLevel="0" collapsed="false">
      <c r="B16" s="5" t="s">
        <v>11</v>
      </c>
      <c r="C16" s="5"/>
      <c r="D16" s="5"/>
      <c r="E16" s="5"/>
      <c r="F16" s="5"/>
      <c r="G16" s="5"/>
      <c r="H16" s="5"/>
    </row>
    <row r="17" customFormat="false" ht="15.75" hidden="false" customHeight="true" outlineLevel="0" collapsed="false">
      <c r="B17" s="5" t="s">
        <v>12</v>
      </c>
      <c r="C17" s="5"/>
      <c r="D17" s="5"/>
      <c r="E17" s="5"/>
      <c r="F17" s="5"/>
      <c r="G17" s="5"/>
      <c r="H17" s="5"/>
    </row>
    <row r="18" customFormat="false" ht="15.75" hidden="false" customHeight="true" outlineLevel="0" collapsed="false">
      <c r="B18" s="5" t="s">
        <v>13</v>
      </c>
      <c r="C18" s="5"/>
      <c r="D18" s="5"/>
      <c r="E18" s="5"/>
      <c r="F18" s="5"/>
      <c r="G18" s="5"/>
      <c r="H18" s="5"/>
    </row>
    <row r="20" customFormat="false" ht="15.75" hidden="false" customHeight="true" outlineLevel="0" collapsed="false">
      <c r="B20" s="4" t="s">
        <v>14</v>
      </c>
      <c r="C20" s="4"/>
      <c r="D20" s="4"/>
      <c r="E20" s="4"/>
      <c r="F20" s="4"/>
      <c r="G20" s="4"/>
      <c r="H20" s="4"/>
    </row>
    <row r="21" customFormat="false" ht="15" hidden="false" customHeight="true" outlineLevel="0" collapsed="false">
      <c r="B21" s="6" t="s">
        <v>15</v>
      </c>
      <c r="C21" s="6" t="s">
        <v>2</v>
      </c>
    </row>
    <row r="22" customFormat="false" ht="15" hidden="false" customHeight="true" outlineLevel="0" collapsed="false">
      <c r="B22" s="7" t="s">
        <v>16</v>
      </c>
      <c r="C22" s="8" t="s">
        <v>17</v>
      </c>
      <c r="D22" s="8"/>
      <c r="E22" s="8"/>
      <c r="F22" s="8"/>
      <c r="G22" s="8"/>
      <c r="H22" s="8"/>
    </row>
    <row r="23" customFormat="false" ht="23.25" hidden="false" customHeight="true" outlineLevel="0" collapsed="false">
      <c r="B23" s="7" t="s">
        <v>18</v>
      </c>
      <c r="C23" s="8" t="s">
        <v>19</v>
      </c>
      <c r="D23" s="8"/>
      <c r="E23" s="8"/>
      <c r="F23" s="8"/>
      <c r="G23" s="8"/>
      <c r="H23" s="8"/>
    </row>
    <row r="24" customFormat="false" ht="15" hidden="false" customHeight="true" outlineLevel="0" collapsed="false">
      <c r="B24" s="7" t="s">
        <v>20</v>
      </c>
      <c r="C24" s="8" t="s">
        <v>21</v>
      </c>
      <c r="D24" s="8"/>
      <c r="E24" s="8"/>
      <c r="F24" s="8"/>
      <c r="G24" s="8"/>
      <c r="H24" s="8"/>
    </row>
    <row r="25" customFormat="false" ht="15" hidden="false" customHeight="true" outlineLevel="0" collapsed="false">
      <c r="B25" s="7" t="s">
        <v>22</v>
      </c>
      <c r="C25" s="8" t="s">
        <v>23</v>
      </c>
      <c r="D25" s="8"/>
      <c r="E25" s="8"/>
      <c r="F25" s="8"/>
      <c r="G25" s="8"/>
      <c r="H25" s="8"/>
    </row>
    <row r="26" customFormat="false" ht="15" hidden="false" customHeight="true" outlineLevel="0" collapsed="false">
      <c r="B26" s="7" t="s">
        <v>24</v>
      </c>
      <c r="C26" s="8" t="s">
        <v>25</v>
      </c>
      <c r="D26" s="8"/>
      <c r="E26" s="8"/>
      <c r="F26" s="8"/>
      <c r="G26" s="8"/>
      <c r="H26" s="8"/>
    </row>
    <row r="27" customFormat="false" ht="15" hidden="false" customHeight="true" outlineLevel="0" collapsed="false">
      <c r="B27" s="7" t="s">
        <v>26</v>
      </c>
      <c r="C27" s="8" t="s">
        <v>27</v>
      </c>
      <c r="D27" s="8"/>
      <c r="E27" s="8"/>
      <c r="F27" s="8"/>
      <c r="G27" s="8"/>
      <c r="H27" s="8"/>
    </row>
    <row r="28" customFormat="false" ht="15" hidden="false" customHeight="true" outlineLevel="0" collapsed="false">
      <c r="B28" s="7" t="s">
        <v>28</v>
      </c>
      <c r="C28" s="8" t="s">
        <v>29</v>
      </c>
      <c r="D28" s="8"/>
      <c r="E28" s="8"/>
      <c r="F28" s="8"/>
      <c r="G28" s="8"/>
      <c r="H28" s="8"/>
    </row>
    <row r="29" customFormat="false" ht="15" hidden="false" customHeight="true" outlineLevel="0" collapsed="false">
      <c r="B29" s="7" t="s">
        <v>30</v>
      </c>
      <c r="C29" s="8" t="s">
        <v>31</v>
      </c>
      <c r="D29" s="8"/>
      <c r="E29" s="8"/>
      <c r="F29" s="8"/>
      <c r="G29" s="8"/>
      <c r="H29" s="8"/>
    </row>
    <row r="30" customFormat="false" ht="15" hidden="false" customHeight="true" outlineLevel="0" collapsed="false">
      <c r="B30" s="7" t="s">
        <v>32</v>
      </c>
      <c r="C30" s="8" t="s">
        <v>33</v>
      </c>
      <c r="D30" s="8"/>
      <c r="E30" s="8"/>
      <c r="F30" s="8"/>
      <c r="G30" s="8"/>
      <c r="H30" s="8"/>
    </row>
    <row r="31" customFormat="false" ht="15" hidden="false" customHeight="true" outlineLevel="0" collapsed="false">
      <c r="B31" s="7" t="s">
        <v>34</v>
      </c>
      <c r="C31" s="8" t="s">
        <v>35</v>
      </c>
      <c r="D31" s="8"/>
      <c r="E31" s="8"/>
      <c r="F31" s="8"/>
      <c r="G31" s="8"/>
      <c r="H31" s="8"/>
    </row>
    <row r="33" customFormat="false" ht="48" hidden="false" customHeight="true" outlineLevel="0" collapsed="false">
      <c r="B33" s="9" t="s">
        <v>36</v>
      </c>
      <c r="C33" s="9"/>
      <c r="D33" s="9"/>
      <c r="E33" s="9"/>
      <c r="F33" s="9"/>
      <c r="G33" s="9"/>
      <c r="H33" s="9"/>
    </row>
  </sheetData>
  <mergeCells count="26">
    <mergeCell ref="A2:H2"/>
    <mergeCell ref="A3:H3"/>
    <mergeCell ref="B5:H5"/>
    <mergeCell ref="B6:H6"/>
    <mergeCell ref="B8:H8"/>
    <mergeCell ref="B9:H9"/>
    <mergeCell ref="B11:H11"/>
    <mergeCell ref="B12:H12"/>
    <mergeCell ref="B13:H13"/>
    <mergeCell ref="B14:H14"/>
    <mergeCell ref="B15:H15"/>
    <mergeCell ref="B16:H16"/>
    <mergeCell ref="B17:H17"/>
    <mergeCell ref="B18:H18"/>
    <mergeCell ref="B20:H20"/>
    <mergeCell ref="C22:H22"/>
    <mergeCell ref="C23:H23"/>
    <mergeCell ref="C24:H24"/>
    <mergeCell ref="C25:H25"/>
    <mergeCell ref="C26:H26"/>
    <mergeCell ref="C27:H27"/>
    <mergeCell ref="C28:H28"/>
    <mergeCell ref="C29:H29"/>
    <mergeCell ref="C30:H30"/>
    <mergeCell ref="C31:H31"/>
    <mergeCell ref="B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95"/>
  </cols>
  <sheetData>
    <row r="2" customFormat="false" ht="33.75" hidden="false" customHeight="true" outlineLevel="0" collapsed="false">
      <c r="A2" s="10" t="s">
        <v>37</v>
      </c>
      <c r="B2" s="10"/>
      <c r="C2" s="10"/>
      <c r="D2" s="10"/>
      <c r="E2" s="10"/>
      <c r="F2" s="10"/>
      <c r="G2" s="10"/>
      <c r="H2" s="10"/>
    </row>
    <row r="3" customFormat="false" ht="27.75" hidden="false" customHeight="true" outlineLevel="0" collapsed="false">
      <c r="A3" s="11" t="s">
        <v>38</v>
      </c>
      <c r="B3" s="11"/>
      <c r="C3" s="11"/>
      <c r="D3" s="11"/>
      <c r="E3" s="11"/>
      <c r="F3" s="11"/>
      <c r="G3" s="11"/>
      <c r="H3" s="11"/>
    </row>
    <row r="5" customFormat="false" ht="18" hidden="false" customHeight="true" outlineLevel="0" collapsed="false">
      <c r="B5" s="12" t="s">
        <v>2</v>
      </c>
      <c r="C5" s="12"/>
      <c r="D5" s="12"/>
      <c r="E5" s="12"/>
      <c r="F5" s="12"/>
      <c r="G5" s="12"/>
      <c r="H5" s="12"/>
    </row>
    <row r="6" customFormat="false" ht="48" hidden="false" customHeight="true" outlineLevel="0" collapsed="false">
      <c r="B6" s="5" t="s">
        <v>39</v>
      </c>
      <c r="C6" s="5"/>
      <c r="D6" s="5"/>
      <c r="E6" s="5"/>
      <c r="F6" s="5"/>
      <c r="G6" s="5"/>
      <c r="H6" s="5"/>
    </row>
    <row r="8" customFormat="false" ht="18" hidden="false" customHeight="true" outlineLevel="0" collapsed="false">
      <c r="B8" s="12" t="s">
        <v>40</v>
      </c>
      <c r="C8" s="12"/>
      <c r="D8" s="12"/>
      <c r="E8" s="12"/>
      <c r="F8" s="12"/>
      <c r="G8" s="12"/>
      <c r="H8" s="12"/>
    </row>
    <row r="9" customFormat="false" ht="84.75" hidden="false" customHeight="true" outlineLevel="0" collapsed="false">
      <c r="B9" s="13" t="s">
        <v>41</v>
      </c>
      <c r="C9" s="13"/>
      <c r="D9" s="13"/>
      <c r="E9" s="13"/>
      <c r="F9" s="13"/>
      <c r="G9" s="13"/>
      <c r="H9" s="13"/>
    </row>
    <row r="12" customFormat="false" ht="18" hidden="false" customHeight="true" outlineLevel="0" collapsed="false">
      <c r="B12" s="12" t="s">
        <v>42</v>
      </c>
      <c r="C12" s="12"/>
      <c r="D12" s="12"/>
      <c r="E12" s="12"/>
      <c r="F12" s="12"/>
      <c r="G12" s="12"/>
      <c r="H12" s="12"/>
    </row>
    <row r="13" customFormat="false" ht="18" hidden="false" customHeight="true" outlineLevel="0" collapsed="false">
      <c r="B13" s="13" t="s">
        <v>43</v>
      </c>
      <c r="C13" s="13"/>
      <c r="D13" s="13"/>
      <c r="E13" s="13"/>
      <c r="F13" s="13"/>
      <c r="G13" s="13"/>
      <c r="H13" s="13"/>
    </row>
    <row r="14" customFormat="false" ht="48" hidden="false" customHeight="true" outlineLevel="0" collapsed="false">
      <c r="B14" s="13" t="s">
        <v>44</v>
      </c>
      <c r="C14" s="13"/>
      <c r="D14" s="13"/>
      <c r="E14" s="13"/>
      <c r="F14" s="13"/>
      <c r="G14" s="13"/>
      <c r="H14" s="13"/>
    </row>
    <row r="15" customFormat="false" ht="48" hidden="false" customHeight="true" outlineLevel="0" collapsed="false">
      <c r="B15" s="13" t="s">
        <v>45</v>
      </c>
      <c r="C15" s="13"/>
      <c r="D15" s="13"/>
      <c r="E15" s="13"/>
      <c r="F15" s="13"/>
      <c r="G15" s="13"/>
      <c r="H15" s="13"/>
    </row>
    <row r="16" customFormat="false" ht="48" hidden="false" customHeight="true" outlineLevel="0" collapsed="false">
      <c r="B16" s="13" t="s">
        <v>46</v>
      </c>
      <c r="C16" s="13"/>
      <c r="D16" s="13"/>
      <c r="E16" s="13"/>
      <c r="F16" s="13"/>
      <c r="G16" s="13"/>
      <c r="H16" s="13"/>
    </row>
    <row r="17" customFormat="false" ht="26.25" hidden="false" customHeight="true" outlineLevel="0" collapsed="false">
      <c r="B17" s="14" t="s">
        <v>47</v>
      </c>
    </row>
    <row r="18" customFormat="false" ht="26.25" hidden="false" customHeight="true" outlineLevel="0" collapsed="false">
      <c r="B18" s="14" t="s">
        <v>48</v>
      </c>
    </row>
    <row r="19" customFormat="false" ht="18" hidden="false" customHeight="true" outlineLevel="0" collapsed="false">
      <c r="B19" s="12" t="s">
        <v>49</v>
      </c>
      <c r="C19" s="12"/>
      <c r="D19" s="12"/>
      <c r="E19" s="12"/>
      <c r="F19" s="12"/>
      <c r="G19" s="12"/>
      <c r="H19" s="12"/>
    </row>
    <row r="20" customFormat="false" ht="48" hidden="false" customHeight="true" outlineLevel="0" collapsed="false">
      <c r="B20" s="5" t="s">
        <v>50</v>
      </c>
      <c r="C20" s="5"/>
      <c r="D20" s="5"/>
      <c r="E20" s="5"/>
      <c r="F20" s="5"/>
      <c r="G20" s="5"/>
      <c r="H20" s="5"/>
    </row>
    <row r="22" customFormat="false" ht="18" hidden="false" customHeight="true" outlineLevel="0" collapsed="false">
      <c r="B22" s="12" t="s">
        <v>51</v>
      </c>
      <c r="C22" s="12"/>
      <c r="D22" s="12"/>
      <c r="E22" s="12"/>
      <c r="F22" s="12"/>
      <c r="G22" s="12"/>
      <c r="H22" s="12"/>
    </row>
    <row r="23" customFormat="false" ht="48" hidden="false" customHeight="true" outlineLevel="0" collapsed="false">
      <c r="B23" s="5" t="s">
        <v>52</v>
      </c>
      <c r="C23" s="5"/>
      <c r="D23" s="5"/>
      <c r="E23" s="5"/>
      <c r="F23" s="5"/>
      <c r="G23" s="5"/>
      <c r="H23" s="5"/>
    </row>
    <row r="26" customFormat="false" ht="15" hidden="false" customHeight="true" outlineLevel="0" collapsed="false">
      <c r="B26" s="15" t="s">
        <v>53</v>
      </c>
    </row>
    <row r="27" customFormat="false" ht="15" hidden="false" customHeight="true" outlineLevel="0" collapsed="false">
      <c r="B27" s="16" t="s">
        <v>54</v>
      </c>
      <c r="C27" s="17" t="s">
        <v>55</v>
      </c>
    </row>
    <row r="28" customFormat="false" ht="15" hidden="false" customHeight="true" outlineLevel="0" collapsed="false">
      <c r="B28" s="16" t="s">
        <v>56</v>
      </c>
      <c r="C28" s="17" t="s">
        <v>57</v>
      </c>
    </row>
    <row r="29" customFormat="false" ht="15" hidden="false" customHeight="true" outlineLevel="0" collapsed="false">
      <c r="B29" s="16" t="s">
        <v>58</v>
      </c>
      <c r="C29" s="17" t="s">
        <v>59</v>
      </c>
    </row>
    <row r="30" customFormat="false" ht="15" hidden="false" customHeight="true" outlineLevel="0" collapsed="false">
      <c r="B30" s="16" t="s">
        <v>60</v>
      </c>
      <c r="C30" s="17" t="s">
        <v>61</v>
      </c>
    </row>
    <row r="31" customFormat="false" ht="15" hidden="false" customHeight="true" outlineLevel="0" collapsed="false">
      <c r="B31" s="16" t="s">
        <v>62</v>
      </c>
      <c r="C31" s="17" t="s">
        <v>63</v>
      </c>
    </row>
    <row r="33" customFormat="false" ht="15" hidden="false" customHeight="true" outlineLevel="0" collapsed="false">
      <c r="B33" s="18" t="s">
        <v>64</v>
      </c>
    </row>
    <row r="34" customFormat="false" ht="15" hidden="false" customHeight="true" outlineLevel="0" collapsed="false">
      <c r="B34" s="19" t="s">
        <v>65</v>
      </c>
      <c r="C34" s="19" t="s">
        <v>66</v>
      </c>
    </row>
    <row r="35" customFormat="false" ht="42.75" hidden="false" customHeight="true" outlineLevel="0" collapsed="false">
      <c r="B35" s="20" t="s">
        <v>67</v>
      </c>
      <c r="C35" s="21" t="s">
        <v>68</v>
      </c>
    </row>
    <row r="36" customFormat="false" ht="63.75" hidden="false" customHeight="true" outlineLevel="0" collapsed="false">
      <c r="B36" s="20" t="s">
        <v>69</v>
      </c>
      <c r="C36" s="21" t="s">
        <v>70</v>
      </c>
    </row>
    <row r="37" customFormat="false" ht="63.75" hidden="false" customHeight="true" outlineLevel="0" collapsed="false">
      <c r="B37" s="20" t="s">
        <v>71</v>
      </c>
      <c r="C37" s="21" t="s">
        <v>72</v>
      </c>
    </row>
    <row r="38" customFormat="false" ht="53.25" hidden="false" customHeight="true" outlineLevel="0" collapsed="false">
      <c r="B38" s="20" t="s">
        <v>73</v>
      </c>
      <c r="C38" s="21" t="s">
        <v>74</v>
      </c>
    </row>
    <row r="39" customFormat="false" ht="126.75" hidden="false" customHeight="true" outlineLevel="0" collapsed="false">
      <c r="B39" s="20" t="s">
        <v>75</v>
      </c>
      <c r="C39" s="21" t="s">
        <v>76</v>
      </c>
    </row>
    <row r="40" customFormat="false" ht="241.5" hidden="false" customHeight="true" outlineLevel="0" collapsed="false">
      <c r="B40" s="20" t="s">
        <v>77</v>
      </c>
      <c r="C40" s="21" t="s">
        <v>78</v>
      </c>
    </row>
  </sheetData>
  <mergeCells count="15">
    <mergeCell ref="A2:H2"/>
    <mergeCell ref="A3:H3"/>
    <mergeCell ref="B5:H5"/>
    <mergeCell ref="B6:H6"/>
    <mergeCell ref="B8:H8"/>
    <mergeCell ref="B9:H9"/>
    <mergeCell ref="B12:H12"/>
    <mergeCell ref="B13:H13"/>
    <mergeCell ref="B14:H14"/>
    <mergeCell ref="B15:H15"/>
    <mergeCell ref="B16:H16"/>
    <mergeCell ref="B19:H19"/>
    <mergeCell ref="B20:H20"/>
    <mergeCell ref="B22:H22"/>
    <mergeCell ref="B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6"/>
    <col collapsed="false" customWidth="true" hidden="false" outlineLevel="0" max="4" min="4" style="0" width="4"/>
    <col collapsed="false" customWidth="true" hidden="false" outlineLevel="0" max="5" min="5" style="0" width="30"/>
    <col collapsed="false" customWidth="true" hidden="false" outlineLevel="0" max="8" min="6" style="0" width="16"/>
  </cols>
  <sheetData>
    <row r="1" customFormat="false" ht="30" hidden="false" customHeight="true" outlineLevel="0" collapsed="false">
      <c r="A1" s="22" t="s">
        <v>79</v>
      </c>
      <c r="B1" s="22"/>
      <c r="C1" s="22"/>
      <c r="D1" s="22"/>
      <c r="E1" s="22"/>
      <c r="F1" s="22"/>
      <c r="G1" s="22"/>
      <c r="H1" s="22"/>
    </row>
    <row r="3" customFormat="false" ht="19.5" hidden="false" customHeight="true" outlineLevel="0" collapsed="false">
      <c r="A3" s="23" t="s">
        <v>80</v>
      </c>
      <c r="B3" s="23"/>
      <c r="C3" s="23"/>
      <c r="D3" s="23"/>
      <c r="E3" s="23"/>
      <c r="F3" s="23"/>
      <c r="G3" s="23"/>
      <c r="H3" s="23"/>
    </row>
    <row r="4" customFormat="false" ht="15" hidden="false" customHeight="false" outlineLevel="0" collapsed="false">
      <c r="B4" s="24" t="s">
        <v>81</v>
      </c>
      <c r="C4" s="25" t="n">
        <f aca="false">COUNTA('AI Inventory'!A3:A40)</f>
        <v>3</v>
      </c>
      <c r="E4" s="24" t="s">
        <v>82</v>
      </c>
      <c r="F4" s="25" t="n">
        <f aca="false">COUNTIF('AI Risk Register'!J3:J200,"Open")</f>
        <v>3</v>
      </c>
    </row>
    <row r="5" customFormat="false" ht="15" hidden="false" customHeight="false" outlineLevel="0" collapsed="false">
      <c r="B5" s="24" t="s">
        <v>83</v>
      </c>
      <c r="C5" s="25" t="n">
        <f aca="false">COUNTIF('AI Inventory'!L3:L40,"Live")</f>
        <v>3</v>
      </c>
      <c r="E5" s="24" t="s">
        <v>84</v>
      </c>
      <c r="F5" s="25" t="n">
        <f aca="false">COUNTIFS('AI Risk Register'!F3:F200,"Critical",'AI Risk Register'!J3:J200,"Open")+COUNTIFS('AI Risk Register'!F3:F200,"High",'AI Risk Register'!J3:J200,"Open")</f>
        <v>3</v>
      </c>
    </row>
    <row r="6" customFormat="false" ht="15" hidden="false" customHeight="false" outlineLevel="0" collapsed="false">
      <c r="B6" s="24" t="s">
        <v>85</v>
      </c>
      <c r="C6" s="25" t="n">
        <f aca="false">COUNTIF('AI Inventory'!K3:K40,"High")+COUNTIF('AI Inventory'!K3:K40,"Critical")</f>
        <v>2</v>
      </c>
      <c r="E6" s="24" t="s">
        <v>86</v>
      </c>
      <c r="F6" s="26" t="n">
        <f aca="false">'Maturity Assessment'!D16</f>
        <v>2.5</v>
      </c>
    </row>
    <row r="8" customFormat="false" ht="19.5" hidden="false" customHeight="true" outlineLevel="0" collapsed="false">
      <c r="A8" s="23" t="s">
        <v>87</v>
      </c>
      <c r="B8" s="23"/>
      <c r="C8" s="23"/>
      <c r="D8" s="23"/>
      <c r="E8" s="23"/>
      <c r="F8" s="23"/>
      <c r="G8" s="23"/>
      <c r="H8" s="23"/>
    </row>
    <row r="9" customFormat="false" ht="15" hidden="false" customHeight="false" outlineLevel="0" collapsed="false">
      <c r="B9" s="27" t="s">
        <v>88</v>
      </c>
      <c r="C9" s="28" t="s">
        <v>89</v>
      </c>
      <c r="D9" s="28"/>
      <c r="E9" s="28"/>
      <c r="F9" s="28"/>
      <c r="G9" s="28"/>
      <c r="H9" s="28"/>
    </row>
    <row r="10" customFormat="false" ht="15" hidden="false" customHeight="false" outlineLevel="0" collapsed="false">
      <c r="B10" s="29" t="n">
        <v>1</v>
      </c>
      <c r="C10" s="30"/>
      <c r="D10" s="30"/>
      <c r="E10" s="30"/>
      <c r="F10" s="30"/>
      <c r="G10" s="30"/>
      <c r="H10" s="30"/>
    </row>
    <row r="11" customFormat="false" ht="15" hidden="false" customHeight="false" outlineLevel="0" collapsed="false">
      <c r="B11" s="29" t="n">
        <v>2</v>
      </c>
      <c r="C11" s="30"/>
      <c r="D11" s="30"/>
      <c r="E11" s="30"/>
      <c r="F11" s="30"/>
      <c r="G11" s="30"/>
      <c r="H11" s="30"/>
    </row>
    <row r="12" customFormat="false" ht="15" hidden="false" customHeight="false" outlineLevel="0" collapsed="false">
      <c r="B12" s="29" t="n">
        <v>3</v>
      </c>
      <c r="C12" s="30"/>
      <c r="D12" s="30"/>
      <c r="E12" s="30"/>
      <c r="F12" s="30"/>
      <c r="G12" s="30"/>
      <c r="H12" s="30"/>
    </row>
    <row r="13" customFormat="false" ht="15" hidden="false" customHeight="false" outlineLevel="0" collapsed="false">
      <c r="B13" s="29" t="n">
        <v>4</v>
      </c>
      <c r="C13" s="30"/>
      <c r="D13" s="30"/>
      <c r="E13" s="30"/>
      <c r="F13" s="30"/>
      <c r="G13" s="30"/>
      <c r="H13" s="30"/>
    </row>
    <row r="14" customFormat="false" ht="15" hidden="false" customHeight="false" outlineLevel="0" collapsed="false">
      <c r="B14" s="29" t="n">
        <v>5</v>
      </c>
      <c r="C14" s="30"/>
      <c r="D14" s="30"/>
      <c r="E14" s="30"/>
      <c r="F14" s="30"/>
      <c r="G14" s="30"/>
      <c r="H14" s="30"/>
    </row>
    <row r="16" customFormat="false" ht="19.5" hidden="false" customHeight="true" outlineLevel="0" collapsed="false">
      <c r="A16" s="23" t="s">
        <v>90</v>
      </c>
      <c r="B16" s="23"/>
      <c r="C16" s="23"/>
      <c r="D16" s="23"/>
      <c r="E16" s="23"/>
      <c r="F16" s="23"/>
      <c r="G16" s="23"/>
      <c r="H16" s="23"/>
    </row>
    <row r="17" customFormat="false" ht="15" hidden="false" customHeight="false" outlineLevel="0" collapsed="false">
      <c r="B17" s="27" t="s">
        <v>88</v>
      </c>
      <c r="C17" s="28" t="s">
        <v>91</v>
      </c>
      <c r="D17" s="28"/>
      <c r="E17" s="28"/>
      <c r="F17" s="28"/>
      <c r="G17" s="28"/>
      <c r="H17" s="28"/>
    </row>
    <row r="18" customFormat="false" ht="15" hidden="false" customHeight="false" outlineLevel="0" collapsed="false">
      <c r="B18" s="29" t="n">
        <v>1</v>
      </c>
      <c r="C18" s="30"/>
      <c r="D18" s="30"/>
      <c r="E18" s="30"/>
      <c r="F18" s="30"/>
      <c r="G18" s="30"/>
      <c r="H18" s="30"/>
    </row>
    <row r="19" customFormat="false" ht="15" hidden="false" customHeight="false" outlineLevel="0" collapsed="false">
      <c r="B19" s="29" t="n">
        <v>2</v>
      </c>
      <c r="C19" s="30"/>
      <c r="D19" s="30"/>
      <c r="E19" s="30"/>
      <c r="F19" s="30"/>
      <c r="G19" s="30"/>
      <c r="H19" s="30"/>
    </row>
    <row r="20" customFormat="false" ht="15" hidden="false" customHeight="false" outlineLevel="0" collapsed="false">
      <c r="B20" s="29" t="n">
        <v>3</v>
      </c>
      <c r="C20" s="30"/>
      <c r="D20" s="30"/>
      <c r="E20" s="30"/>
      <c r="F20" s="30"/>
      <c r="G20" s="30"/>
      <c r="H20" s="30"/>
    </row>
    <row r="21" customFormat="false" ht="15" hidden="false" customHeight="false" outlineLevel="0" collapsed="false">
      <c r="B21" s="29" t="n">
        <v>4</v>
      </c>
      <c r="C21" s="30"/>
      <c r="D21" s="30"/>
      <c r="E21" s="30"/>
      <c r="F21" s="30"/>
      <c r="G21" s="30"/>
      <c r="H21" s="30"/>
    </row>
    <row r="22" customFormat="false" ht="15" hidden="false" customHeight="false" outlineLevel="0" collapsed="false">
      <c r="B22" s="29" t="n">
        <v>5</v>
      </c>
      <c r="C22" s="30"/>
      <c r="D22" s="30"/>
      <c r="E22" s="30"/>
      <c r="F22" s="30"/>
      <c r="G22" s="30"/>
      <c r="H22" s="30"/>
    </row>
    <row r="24" customFormat="false" ht="19.5" hidden="false" customHeight="true" outlineLevel="0" collapsed="false">
      <c r="A24" s="23" t="s">
        <v>92</v>
      </c>
      <c r="B24" s="23"/>
      <c r="C24" s="23"/>
      <c r="D24" s="23"/>
      <c r="E24" s="23"/>
      <c r="F24" s="23"/>
      <c r="G24" s="23"/>
      <c r="H24" s="23"/>
    </row>
    <row r="25" customFormat="false" ht="15" hidden="false" customHeight="false" outlineLevel="0" collapsed="false">
      <c r="B25" s="31" t="s">
        <v>93</v>
      </c>
      <c r="C25" s="31"/>
      <c r="D25" s="31" t="s">
        <v>94</v>
      </c>
      <c r="E25" s="31"/>
      <c r="F25" s="31" t="s">
        <v>95</v>
      </c>
      <c r="G25" s="31"/>
    </row>
    <row r="26" customFormat="false" ht="60" hidden="false" customHeight="true" outlineLevel="0" collapsed="false">
      <c r="B26" s="32" t="s">
        <v>96</v>
      </c>
      <c r="C26" s="32"/>
      <c r="D26" s="32" t="s">
        <v>97</v>
      </c>
      <c r="E26" s="32"/>
      <c r="F26" s="32" t="s">
        <v>98</v>
      </c>
      <c r="G26" s="32"/>
    </row>
    <row r="27" customFormat="false" ht="15" hidden="false" customHeight="false" outlineLevel="0" collapsed="false">
      <c r="B27" s="32"/>
      <c r="C27" s="32"/>
      <c r="D27" s="32"/>
      <c r="E27" s="32"/>
      <c r="F27" s="32"/>
      <c r="G27" s="32"/>
    </row>
    <row r="28" customFormat="false" ht="15" hidden="false" customHeight="false" outlineLevel="0" collapsed="false">
      <c r="B28" s="32"/>
      <c r="C28" s="32"/>
      <c r="D28" s="32"/>
      <c r="E28" s="32"/>
      <c r="F28" s="32"/>
      <c r="G28" s="32"/>
    </row>
    <row r="29" customFormat="false" ht="15" hidden="false" customHeight="false" outlineLevel="0" collapsed="false">
      <c r="B29" s="32"/>
      <c r="C29" s="32"/>
      <c r="D29" s="32"/>
      <c r="E29" s="32"/>
      <c r="F29" s="32"/>
      <c r="G29" s="32"/>
    </row>
    <row r="31" customFormat="false" ht="15" hidden="false" customHeight="false" outlineLevel="0" collapsed="false">
      <c r="B31" s="33" t="s">
        <v>99</v>
      </c>
      <c r="C31" s="33"/>
      <c r="D31" s="33"/>
      <c r="E31" s="33"/>
      <c r="F31" s="33"/>
      <c r="G31" s="33"/>
      <c r="H31" s="33"/>
    </row>
  </sheetData>
  <mergeCells count="24">
    <mergeCell ref="A1:H1"/>
    <mergeCell ref="A3:H3"/>
    <mergeCell ref="A8:H8"/>
    <mergeCell ref="C9:H9"/>
    <mergeCell ref="C10:H10"/>
    <mergeCell ref="C11:H11"/>
    <mergeCell ref="C12:H12"/>
    <mergeCell ref="C13:H13"/>
    <mergeCell ref="C14:H14"/>
    <mergeCell ref="A16:H16"/>
    <mergeCell ref="C17:H17"/>
    <mergeCell ref="C18:H18"/>
    <mergeCell ref="C19:H19"/>
    <mergeCell ref="C20:H20"/>
    <mergeCell ref="C21:H21"/>
    <mergeCell ref="C22:H22"/>
    <mergeCell ref="A24:H24"/>
    <mergeCell ref="B25:C25"/>
    <mergeCell ref="D25:E25"/>
    <mergeCell ref="F25:G25"/>
    <mergeCell ref="B26:C29"/>
    <mergeCell ref="D26:E29"/>
    <mergeCell ref="F26:G29"/>
    <mergeCell ref="B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18"/>
    <col collapsed="false" customWidth="true" hidden="false" outlineLevel="0" max="4" min="4" style="1" width="14"/>
  </cols>
  <sheetData>
    <row r="1" customFormat="false" ht="25.5" hidden="false" customHeight="true" outlineLevel="0" collapsed="false">
      <c r="A1" s="34" t="s">
        <v>100</v>
      </c>
      <c r="B1" s="34"/>
      <c r="C1" s="34"/>
      <c r="D1" s="34"/>
      <c r="E1" s="34"/>
      <c r="F1" s="34"/>
    </row>
    <row r="3" customFormat="false" ht="15" hidden="false" customHeight="true" outlineLevel="0" collapsed="false">
      <c r="A3" s="35" t="s">
        <v>101</v>
      </c>
      <c r="B3" s="36" t="n">
        <f aca="false">COUNTA('Master Crosswalk'!D3:D74)+COUNTA('EU AI Act Full Assessment'!C3:C37)+COUNTA('ISO 42001 Full Assessment'!C3:C35)</f>
        <v>140</v>
      </c>
      <c r="E3" s="37" t="s">
        <v>102</v>
      </c>
      <c r="F3" s="37"/>
    </row>
    <row r="4" customFormat="false" ht="15" hidden="false" customHeight="true" outlineLevel="0" collapsed="false">
      <c r="A4" s="35" t="s">
        <v>103</v>
      </c>
      <c r="B4" s="36" t="n">
        <f aca="false">COUNTA('Master Crosswalk'!D3:D74)</f>
        <v>72</v>
      </c>
      <c r="E4" s="38" t="n">
        <f aca="false">'Maturity Assessment'!D16</f>
        <v>2.5</v>
      </c>
      <c r="F4" s="38"/>
    </row>
    <row r="5" customFormat="false" ht="15" hidden="false" customHeight="true" outlineLevel="0" collapsed="false">
      <c r="A5" s="35" t="s">
        <v>104</v>
      </c>
      <c r="B5" s="36" t="n">
        <f aca="false">COUNTA('EU AI Act Full Assessment'!C3:C37)</f>
        <v>35</v>
      </c>
      <c r="E5" s="39" t="s">
        <v>105</v>
      </c>
      <c r="F5" s="39"/>
    </row>
    <row r="6" customFormat="false" ht="15" hidden="false" customHeight="true" outlineLevel="0" collapsed="false">
      <c r="A6" s="35" t="s">
        <v>106</v>
      </c>
      <c r="B6" s="36" t="n">
        <f aca="false">COUNTA('ISO 42001 Full Assessment'!C3:C35)</f>
        <v>33</v>
      </c>
    </row>
    <row r="7" customFormat="false" ht="15" hidden="false" customHeight="true" outlineLevel="0" collapsed="false">
      <c r="A7" s="35" t="s">
        <v>107</v>
      </c>
      <c r="B7" s="36" t="n">
        <f aca="false">COUNTIF('Master Crosswalk'!O3:O74,"Complete")+COUNTIF('EU AI Act Full Assessment'!L3:L37,"Complete")+COUNTIF('ISO 42001 Full Assessment'!I3:I35,"Complete")</f>
        <v>0</v>
      </c>
    </row>
    <row r="8" customFormat="false" ht="15" hidden="false" customHeight="true" outlineLevel="0" collapsed="false">
      <c r="A8" s="35" t="s">
        <v>108</v>
      </c>
      <c r="B8" s="40" t="n">
        <f aca="false">B7/B3</f>
        <v>0</v>
      </c>
    </row>
    <row r="10" customFormat="false" ht="15" hidden="false" customHeight="true" outlineLevel="0" collapsed="false">
      <c r="A10" s="41" t="s">
        <v>109</v>
      </c>
      <c r="B10" s="41" t="n">
        <f aca="false">COUNTA('Audit Checklist - NIST'!F3:F153)+COUNTA('Audit Checklist - EU AI Act'!F3:F108)+COUNTA('Audit Checklist - ISO 42001'!F3:F106)+COUNTA('responsible ai &amp; guardrails'!d3:d59)</f>
        <v>362</v>
      </c>
    </row>
    <row r="11" customFormat="false" ht="15" hidden="false" customHeight="true" outlineLevel="0" collapsed="false">
      <c r="A11" s="42" t="s">
        <v>110</v>
      </c>
      <c r="B11" s="42"/>
      <c r="C11" s="42"/>
      <c r="D11" s="42"/>
    </row>
    <row r="12" customFormat="false" ht="15" hidden="false" customHeight="true" outlineLevel="0" collapsed="false">
      <c r="A12" s="6" t="s">
        <v>111</v>
      </c>
      <c r="B12" s="6" t="s">
        <v>112</v>
      </c>
      <c r="C12" s="6" t="s">
        <v>113</v>
      </c>
      <c r="D12" s="6" t="s">
        <v>108</v>
      </c>
    </row>
    <row r="13" customFormat="false" ht="15" hidden="false" customHeight="true" outlineLevel="0" collapsed="false">
      <c r="A13" s="43" t="s">
        <v>114</v>
      </c>
      <c r="B13" s="43" t="n">
        <f aca="false">COUNTIF('Master Crosswalk'!B3:B74,"Governance &amp; Policy")</f>
        <v>19</v>
      </c>
      <c r="C13" s="43" t="n">
        <f aca="false">COUNTIFS('Master Crosswalk'!B3:B74,"Governance &amp; Policy",'Master Crosswalk'!K3:K74,"Critical")+COUNTIFS('Master Crosswalk'!B3:B74,"Governance &amp; Policy",'Master Crosswalk'!K3:K74,"High")</f>
        <v>3</v>
      </c>
      <c r="D13" s="44" t="n">
        <f aca="false">IFERROR(COUNTIFS('Master Crosswalk'!B3:B74,"Governance &amp; Policy",'Master Crosswalk'!O3:O74,"Complete")/COUNTIF('Master Crosswalk'!B3:B74,"Governance &amp; Policy"),0)</f>
        <v>0</v>
      </c>
    </row>
    <row r="14" customFormat="false" ht="15" hidden="false" customHeight="true" outlineLevel="0" collapsed="false">
      <c r="A14" s="43" t="s">
        <v>115</v>
      </c>
      <c r="B14" s="43" t="n">
        <f aca="false">COUNTIF('Master Crosswalk'!B3:B74,"Risk Identification (Map)")</f>
        <v>18</v>
      </c>
      <c r="C14" s="43" t="n">
        <f aca="false">COUNTIFS('Master Crosswalk'!B3:B74,"Risk Identification (Map)",'Master Crosswalk'!K3:K74,"Critical")+COUNTIFS('Master Crosswalk'!B3:B74,"Risk Identification (Map)",'Master Crosswalk'!K3:K74,"High")</f>
        <v>0</v>
      </c>
      <c r="D14" s="44" t="n">
        <f aca="false">IFERROR(COUNTIFS('Master Crosswalk'!B3:B74,"Risk Identification (Map)",'Master Crosswalk'!O3:O74,"Complete")/COUNTIF('Master Crosswalk'!B3:B74,"Risk Identification (Map)"),0)</f>
        <v>0</v>
      </c>
    </row>
    <row r="15" customFormat="false" ht="15" hidden="false" customHeight="true" outlineLevel="0" collapsed="false">
      <c r="A15" s="43" t="s">
        <v>116</v>
      </c>
      <c r="B15" s="43" t="n">
        <f aca="false">COUNTIF('Master Crosswalk'!B3:B74,"Testing &amp; Measurement (Measure)")</f>
        <v>22</v>
      </c>
      <c r="C15" s="43" t="n">
        <f aca="false">COUNTIFS('Master Crosswalk'!B3:B74,"Testing &amp; Measurement (Measure)",'Master Crosswalk'!K3:K74,"Critical")+COUNTIFS('Master Crosswalk'!B3:B74,"Testing &amp; Measurement (Measure)",'Master Crosswalk'!K3:K74,"High")</f>
        <v>0</v>
      </c>
      <c r="D15" s="44" t="n">
        <f aca="false">IFERROR(COUNTIFS('Master Crosswalk'!B3:B74,"Testing &amp; Measurement (Measure)",'Master Crosswalk'!O3:O74,"Complete")/COUNTIF('Master Crosswalk'!B3:B74,"Testing &amp; Measurement (Measure)"),0)</f>
        <v>0</v>
      </c>
    </row>
    <row r="16" customFormat="false" ht="15" hidden="false" customHeight="true" outlineLevel="0" collapsed="false">
      <c r="A16" s="43" t="s">
        <v>117</v>
      </c>
      <c r="B16" s="43" t="n">
        <f aca="false">COUNTIF('Master Crosswalk'!B3:B74,"Risk Treatment (Manage)")</f>
        <v>13</v>
      </c>
      <c r="C16" s="43" t="n">
        <f aca="false">COUNTIFS('Master Crosswalk'!B3:B74,"Risk Treatment (Manage)",'Master Crosswalk'!K3:K74,"Critical")+COUNTIFS('Master Crosswalk'!B3:B74,"Risk Treatment (Manage)",'Master Crosswalk'!K3:K74,"High")</f>
        <v>0</v>
      </c>
      <c r="D16" s="44" t="n">
        <f aca="false">IFERROR(COUNTIFS('Master Crosswalk'!B3:B74,"Risk Treatment (Manage)",'Master Crosswalk'!O3:O74,"Complete")/COUNTIF('Master Crosswalk'!B3:B74,"Risk Treatment (Manage)"),0)</f>
        <v>0</v>
      </c>
    </row>
    <row r="19" customFormat="false" ht="15" hidden="false" customHeight="true" outlineLevel="0" collapsed="false">
      <c r="A19" s="42" t="s">
        <v>118</v>
      </c>
      <c r="B19" s="42"/>
      <c r="C19" s="42"/>
    </row>
    <row r="20" customFormat="false" ht="15" hidden="false" customHeight="true" outlineLevel="0" collapsed="false">
      <c r="A20" s="6" t="s">
        <v>119</v>
      </c>
      <c r="B20" s="6" t="s">
        <v>120</v>
      </c>
      <c r="C20" s="6" t="s">
        <v>108</v>
      </c>
    </row>
    <row r="21" customFormat="false" ht="15" hidden="false" customHeight="true" outlineLevel="0" collapsed="false">
      <c r="A21" s="43" t="s">
        <v>121</v>
      </c>
      <c r="B21" s="43" t="n">
        <f aca="false">COUNTA('Master Crosswalk'!D3:D74)</f>
        <v>72</v>
      </c>
      <c r="C21" s="44" t="n">
        <f aca="false">IFERROR(COUNTIF('Master Crosswalk'!O3:O74,"Complete")/COUNTA('Master Crosswalk'!D3:D74),0)</f>
        <v>0</v>
      </c>
    </row>
    <row r="22" customFormat="false" ht="15" hidden="false" customHeight="true" outlineLevel="0" collapsed="false">
      <c r="A22" s="43" t="s">
        <v>122</v>
      </c>
      <c r="B22" s="43" t="n">
        <f aca="false">COUNTA('EU AI Act Full Assessment'!C3:C37)</f>
        <v>35</v>
      </c>
      <c r="C22" s="44" t="n">
        <f aca="false">IFERROR(COUNTIF('EU AI Act Full Assessment'!L3:L37,"Complete")/COUNTA('EU AI Act Full Assessment'!C3:C37),0)</f>
        <v>0</v>
      </c>
    </row>
    <row r="23" customFormat="false" ht="15" hidden="false" customHeight="true" outlineLevel="0" collapsed="false">
      <c r="A23" s="43" t="s">
        <v>123</v>
      </c>
      <c r="B23" s="43" t="n">
        <f aca="false">COUNTA('ISO 42001 Full Assessment'!C3:C35)</f>
        <v>33</v>
      </c>
      <c r="C23" s="44" t="n">
        <f aca="false">IFERROR(COUNTIF('ISO 42001 Full Assessment'!I3:I35,"Complete")/COUNTA('ISO 42001 Full Assessment'!C3:C35),0)</f>
        <v>0</v>
      </c>
    </row>
    <row r="26" customFormat="false" ht="15" hidden="false" customHeight="true" outlineLevel="0" collapsed="false">
      <c r="A26" s="42" t="s">
        <v>124</v>
      </c>
      <c r="B26" s="42"/>
    </row>
    <row r="27" customFormat="false" ht="15" hidden="false" customHeight="true" outlineLevel="0" collapsed="false">
      <c r="A27" s="6" t="s">
        <v>125</v>
      </c>
      <c r="B27" s="6" t="s">
        <v>126</v>
      </c>
    </row>
    <row r="28" customFormat="false" ht="15" hidden="false" customHeight="true" outlineLevel="0" collapsed="false">
      <c r="A28" s="43" t="s">
        <v>127</v>
      </c>
      <c r="B28" s="43" t="n">
        <f aca="false">COUNTIF('Master Crosswalk'!K3:K74,"Critical")</f>
        <v>1</v>
      </c>
    </row>
    <row r="29" customFormat="false" ht="15" hidden="false" customHeight="true" outlineLevel="0" collapsed="false">
      <c r="A29" s="43" t="s">
        <v>128</v>
      </c>
      <c r="B29" s="43" t="n">
        <f aca="false">COUNTIF('Master Crosswalk'!K3:K74,"High")</f>
        <v>2</v>
      </c>
    </row>
    <row r="30" customFormat="false" ht="15" hidden="false" customHeight="true" outlineLevel="0" collapsed="false">
      <c r="A30" s="43" t="s">
        <v>129</v>
      </c>
      <c r="B30" s="43" t="n">
        <f aca="false">COUNTIF('Master Crosswalk'!K3:K74,"Medium")</f>
        <v>2</v>
      </c>
    </row>
    <row r="31" customFormat="false" ht="15" hidden="false" customHeight="true" outlineLevel="0" collapsed="false">
      <c r="A31" s="43" t="s">
        <v>130</v>
      </c>
      <c r="B31" s="43" t="n">
        <f aca="false">COUNTIF('Master Crosswalk'!K3:K74,"Low")</f>
        <v>1</v>
      </c>
    </row>
    <row r="34" customFormat="false" ht="15" hidden="false" customHeight="true" outlineLevel="0" collapsed="false">
      <c r="A34" s="42" t="s">
        <v>131</v>
      </c>
      <c r="B34" s="42"/>
      <c r="C34" s="42"/>
    </row>
    <row r="35" customFormat="false" ht="15" hidden="false" customHeight="true" outlineLevel="0" collapsed="false">
      <c r="A35" s="6" t="s">
        <v>132</v>
      </c>
      <c r="B35" s="6" t="s">
        <v>133</v>
      </c>
      <c r="C35" s="6" t="s">
        <v>134</v>
      </c>
    </row>
    <row r="36" customFormat="false" ht="15" hidden="false" customHeight="true" outlineLevel="0" collapsed="false">
      <c r="A36" s="43" t="s">
        <v>135</v>
      </c>
      <c r="B36" s="45" t="n">
        <f aca="false">COUNTIF('AI Inventory'!L3:L40,"Live")</f>
        <v>3</v>
      </c>
      <c r="C36" s="46" t="s">
        <v>136</v>
      </c>
    </row>
    <row r="37" customFormat="false" ht="15" hidden="false" customHeight="true" outlineLevel="0" collapsed="false">
      <c r="A37" s="43" t="s">
        <v>137</v>
      </c>
      <c r="B37" s="45" t="n">
        <f aca="false">COUNTIF('AI Inventory'!K3:K40,"High")+COUNTIF('AI Inventory'!K3:K40,"Critical")</f>
        <v>2</v>
      </c>
      <c r="C37" s="46" t="s">
        <v>136</v>
      </c>
    </row>
    <row r="38" customFormat="false" ht="15" hidden="false" customHeight="true" outlineLevel="0" collapsed="false">
      <c r="A38" s="43" t="s">
        <v>138</v>
      </c>
      <c r="B38" s="47" t="n">
        <f aca="false">IFERROR(COUNTA('AI Inventory'!A3:A40)/COUNTA('AI Inventory'!A3:A40),1)</f>
        <v>1</v>
      </c>
      <c r="C38" s="46" t="s">
        <v>139</v>
      </c>
    </row>
    <row r="39" customFormat="false" ht="15" hidden="false" customHeight="true" outlineLevel="0" collapsed="false">
      <c r="A39" s="43" t="s">
        <v>140</v>
      </c>
      <c r="B39" s="45" t="n">
        <f aca="false">COUNTIFS('AI Risk Register'!F3:F200,"Critical",'AI Risk Register'!J3:J200,"Open")+COUNTIFS('AI Risk Register'!F3:F200,"High",'AI Risk Register'!J3:J200,"Open")</f>
        <v>3</v>
      </c>
      <c r="C39" s="46" t="s">
        <v>141</v>
      </c>
    </row>
    <row r="40" customFormat="false" ht="15" hidden="false" customHeight="true" outlineLevel="0" collapsed="false">
      <c r="A40" s="43" t="s">
        <v>142</v>
      </c>
      <c r="B40" s="48"/>
      <c r="C40" s="49" t="s">
        <v>143</v>
      </c>
    </row>
    <row r="41" customFormat="false" ht="15" hidden="false" customHeight="true" outlineLevel="0" collapsed="false">
      <c r="A41" s="43" t="s">
        <v>144</v>
      </c>
      <c r="B41" s="50" t="n">
        <f aca="false">IFERROR(AVERAGE('Maturity Assessment'!B3:B12),"—")</f>
        <v>2.5</v>
      </c>
      <c r="C41" s="46" t="s">
        <v>145</v>
      </c>
    </row>
    <row r="42" customFormat="false" ht="15" hidden="false" customHeight="true" outlineLevel="0" collapsed="false">
      <c r="A42" s="43" t="s">
        <v>146</v>
      </c>
      <c r="B42" s="45" t="n">
        <f aca="false">COUNTA('AI Incident Register'!A3:A50)</f>
        <v>3</v>
      </c>
      <c r="C42" s="46" t="s">
        <v>147</v>
      </c>
    </row>
    <row r="43" customFormat="false" ht="15" hidden="false" customHeight="true" outlineLevel="0" collapsed="false">
      <c r="A43" s="43" t="s">
        <v>148</v>
      </c>
      <c r="B43" s="48"/>
      <c r="C43" s="49" t="s">
        <v>149</v>
      </c>
    </row>
    <row r="44" customFormat="false" ht="15" hidden="false" customHeight="true" outlineLevel="0" collapsed="false">
      <c r="A44" s="43" t="s">
        <v>150</v>
      </c>
      <c r="B44" s="45" t="n">
        <f aca="false">COUNTIF('AI Incident Register'!D3:D200,"Drift")</f>
        <v>1</v>
      </c>
      <c r="C44" s="46" t="s">
        <v>147</v>
      </c>
    </row>
    <row r="45" customFormat="false" ht="15" hidden="false" customHeight="true" outlineLevel="0" collapsed="false">
      <c r="A45" s="43" t="s">
        <v>151</v>
      </c>
      <c r="B45" s="48"/>
      <c r="C45" s="49" t="s">
        <v>152</v>
      </c>
    </row>
    <row r="47" customFormat="false" ht="15" hidden="false" customHeight="true" outlineLevel="0" collapsed="false">
      <c r="A47" s="42" t="s">
        <v>153</v>
      </c>
      <c r="B47" s="42"/>
      <c r="C47" s="42"/>
    </row>
    <row r="48" customFormat="false" ht="15" hidden="false" customHeight="true" outlineLevel="0" collapsed="false">
      <c r="A48" s="51" t="s">
        <v>154</v>
      </c>
      <c r="B48" s="52" t="s">
        <v>155</v>
      </c>
      <c r="C48" s="52"/>
    </row>
    <row r="49" customFormat="false" ht="15" hidden="false" customHeight="true" outlineLevel="0" collapsed="false">
      <c r="A49" s="51" t="s">
        <v>156</v>
      </c>
      <c r="B49" s="52" t="s">
        <v>157</v>
      </c>
      <c r="C49" s="52"/>
    </row>
    <row r="50" customFormat="false" ht="15" hidden="false" customHeight="true" outlineLevel="0" collapsed="false">
      <c r="A50" s="51" t="s">
        <v>158</v>
      </c>
      <c r="B50" s="52" t="s">
        <v>159</v>
      </c>
      <c r="C50" s="52"/>
    </row>
    <row r="51" customFormat="false" ht="15" hidden="false" customHeight="true" outlineLevel="0" collapsed="false">
      <c r="A51" s="51" t="s">
        <v>160</v>
      </c>
      <c r="B51" s="52" t="s">
        <v>161</v>
      </c>
      <c r="C51" s="52"/>
    </row>
    <row r="52" customFormat="false" ht="15" hidden="false" customHeight="true" outlineLevel="0" collapsed="false">
      <c r="A52" s="51" t="s">
        <v>162</v>
      </c>
      <c r="B52" s="52" t="s">
        <v>163</v>
      </c>
      <c r="C52" s="52"/>
    </row>
    <row r="54" customFormat="false" ht="15" hidden="false" customHeight="true" outlineLevel="0" collapsed="false">
      <c r="A54" s="42" t="s">
        <v>164</v>
      </c>
      <c r="B54" s="42"/>
      <c r="C54" s="42"/>
    </row>
    <row r="55" customFormat="false" ht="15" hidden="false" customHeight="true" outlineLevel="0" collapsed="false">
      <c r="A55" s="6" t="s">
        <v>165</v>
      </c>
      <c r="B55" s="6" t="s">
        <v>120</v>
      </c>
      <c r="C55" s="6" t="s">
        <v>166</v>
      </c>
    </row>
    <row r="56" customFormat="false" ht="15" hidden="false" customHeight="true" outlineLevel="0" collapsed="false">
      <c r="A56" s="43" t="s">
        <v>167</v>
      </c>
      <c r="B56" s="43" t="n">
        <f aca="false">COUNTA('Audit Checklist - NIST'!F3:F160)</f>
        <v>151</v>
      </c>
      <c r="C56" s="43" t="n">
        <f aca="false">COUNTIF('Audit Checklist - NIST'!I3:I160,"Yes")</f>
        <v>0</v>
      </c>
    </row>
    <row r="57" customFormat="false" ht="15" hidden="false" customHeight="true" outlineLevel="0" collapsed="false">
      <c r="A57" s="43" t="s">
        <v>168</v>
      </c>
      <c r="B57" s="43" t="n">
        <f aca="false">COUNTA('Audit Checklist - EU AI Act'!F3:F120)</f>
        <v>106</v>
      </c>
      <c r="C57" s="43" t="n">
        <f aca="false">COUNTIF('Audit Checklist - EU AI Act'!I3:I120,"Yes")</f>
        <v>0</v>
      </c>
    </row>
    <row r="58" customFormat="false" ht="15" hidden="false" customHeight="true" outlineLevel="0" collapsed="false">
      <c r="A58" s="43" t="s">
        <v>169</v>
      </c>
      <c r="B58" s="43" t="n">
        <f aca="false">COUNTA('Audit Checklist - ISO 42001'!F3:F120)</f>
        <v>104</v>
      </c>
      <c r="C58" s="43" t="n">
        <f aca="false">COUNTIF('Audit Checklist - ISO 42001'!G3:G120,"Yes")</f>
        <v>0</v>
      </c>
    </row>
    <row r="59" customFormat="false" ht="15" hidden="false" customHeight="true" outlineLevel="0" collapsed="false">
      <c r="A59" s="43" t="s">
        <v>170</v>
      </c>
      <c r="B59" s="43" t="n">
        <f aca="false">COUNTA('Responsible AI'!C3:C22)</f>
        <v>18</v>
      </c>
      <c r="C59" s="43" t="n">
        <f aca="false">COUNTIF('Responsible AI'!D3:D22,"Yes")</f>
        <v>0</v>
      </c>
    </row>
    <row r="60" customFormat="false" ht="15" hidden="false" customHeight="true" outlineLevel="0" collapsed="false">
      <c r="A60" s="43" t="s">
        <v>171</v>
      </c>
      <c r="B60" s="43" t="n">
        <f aca="false">COUNTA('Guardrails - Foundational'!C3:C22)</f>
        <v>16</v>
      </c>
      <c r="C60" s="43" t="n">
        <f aca="false">COUNTIF('Guardrails - Foundational'!D3:D22,"Yes")</f>
        <v>0</v>
      </c>
    </row>
    <row r="61" customFormat="false" ht="15" hidden="false" customHeight="true" outlineLevel="0" collapsed="false">
      <c r="A61" s="43" t="s">
        <v>172</v>
      </c>
      <c r="B61" s="43" t="n">
        <f aca="false">COUNTA('Guardrails - Technical'!C3:C42)</f>
        <v>36</v>
      </c>
      <c r="C61" s="43" t="n">
        <f aca="false">COUNTIF('Guardrails - Technical'!D3:D42,"Yes")</f>
        <v>0</v>
      </c>
    </row>
    <row r="62" customFormat="false" ht="15" hidden="false" customHeight="true" outlineLevel="0" collapsed="false">
      <c r="A62" s="43" t="s">
        <v>173</v>
      </c>
      <c r="B62" s="43" t="n">
        <f aca="false">COUNTA('Data Governance'!C3:C20)</f>
        <v>15</v>
      </c>
      <c r="C62" s="43" t="n">
        <f aca="false">COUNTIF('Data Governance'!D3:D20,"Yes")</f>
        <v>0</v>
      </c>
    </row>
    <row r="63" customFormat="false" ht="15" hidden="false" customHeight="true" outlineLevel="0" collapsed="false">
      <c r="A63" s="43" t="s">
        <v>174</v>
      </c>
      <c r="B63" s="43" t="n">
        <f aca="false">COUNTA('Model Governance'!C3:C20)</f>
        <v>14</v>
      </c>
      <c r="C63" s="43" t="n">
        <f aca="false">COUNTIF('Model Governance'!D3:D20,"Yes")</f>
        <v>0</v>
      </c>
    </row>
    <row r="64" customFormat="false" ht="15" hidden="false" customHeight="true" outlineLevel="0" collapsed="false">
      <c r="A64" s="43" t="s">
        <v>175</v>
      </c>
      <c r="B64" s="43" t="n">
        <f aca="false">COUNTA('AI SDLC'!C3:C20)</f>
        <v>14</v>
      </c>
      <c r="C64" s="43" t="n">
        <f aca="false">COUNTIF('AI SDLC'!D3:D20,"Yes")</f>
        <v>0</v>
      </c>
    </row>
    <row r="65" customFormat="false" ht="15" hidden="false" customHeight="true" outlineLevel="0" collapsed="false">
      <c r="A65" s="43" t="s">
        <v>176</v>
      </c>
      <c r="B65" s="43" t="n">
        <f aca="false">COUNTA('Program Management'!C3:C20)</f>
        <v>14</v>
      </c>
      <c r="C65" s="43" t="n">
        <f aca="false">COUNTIF('Program Management'!D3:D20,"Yes")</f>
        <v>0</v>
      </c>
    </row>
    <row r="66" customFormat="false" ht="15" hidden="false" customHeight="true" outlineLevel="0" collapsed="false">
      <c r="A66" s="43" t="s">
        <v>177</v>
      </c>
      <c r="B66" s="43" t="n">
        <f aca="false">COUNTA('GDPR &amp; Privacy'!C3:C20)</f>
        <v>15</v>
      </c>
      <c r="C66" s="43" t="n">
        <f aca="false">COUNTIF('GDPR &amp; Privacy'!D3:D20,"Yes")</f>
        <v>0</v>
      </c>
    </row>
    <row r="67" customFormat="false" ht="15" hidden="false" customHeight="true" outlineLevel="0" collapsed="false">
      <c r="A67" s="43" t="s">
        <v>178</v>
      </c>
      <c r="B67" s="43" t="n">
        <f aca="false">COUNTA('Financial Services Pack'!C3:C22)</f>
        <v>16</v>
      </c>
      <c r="C67" s="43" t="n">
        <f aca="false">COUNTIF('Financial Services Pack'!D3:D22,"Yes")</f>
        <v>0</v>
      </c>
    </row>
    <row r="68" customFormat="false" ht="15" hidden="false" customHeight="true" outlineLevel="0" collapsed="false">
      <c r="A68" s="43" t="s">
        <v>179</v>
      </c>
      <c r="B68" s="43" t="n">
        <f aca="false">COUNTA('Sector - Healthcare'!C3:C16)</f>
        <v>10</v>
      </c>
      <c r="C68" s="43" t="n">
        <f aca="false">COUNTIF('Sector - Healthcare'!D3:D16,"Yes")</f>
        <v>0</v>
      </c>
    </row>
    <row r="69" customFormat="false" ht="15" hidden="false" customHeight="true" outlineLevel="0" collapsed="false">
      <c r="A69" s="43" t="s">
        <v>180</v>
      </c>
      <c r="B69" s="43" t="n">
        <f aca="false">COUNTA('Sector - Insurance'!C3:C14)</f>
        <v>8</v>
      </c>
      <c r="C69" s="43" t="n">
        <f aca="false">COUNTIF('Sector - Insurance'!D3:D14,"Yes")</f>
        <v>0</v>
      </c>
    </row>
    <row r="70" customFormat="false" ht="15" hidden="false" customHeight="true" outlineLevel="0" collapsed="false">
      <c r="A70" s="43" t="s">
        <v>181</v>
      </c>
      <c r="B70" s="43" t="n">
        <f aca="false">COUNTA('Sector - Employment'!C3:C12)</f>
        <v>7</v>
      </c>
      <c r="C70" s="43" t="n">
        <f aca="false">COUNTIF('Sector - Employment'!D3:D12,"Yes")</f>
        <v>0</v>
      </c>
    </row>
    <row r="71" customFormat="false" ht="15" hidden="false" customHeight="true" outlineLevel="0" collapsed="false">
      <c r="A71" s="43" t="s">
        <v>182</v>
      </c>
      <c r="B71" s="43" t="n">
        <f aca="false">COUNTA('Sector - Public Sector'!C3:C12)</f>
        <v>6</v>
      </c>
      <c r="C71" s="43" t="n">
        <f aca="false">COUNTIF('Sector - Public Sector'!D3:D12,"Yes")</f>
        <v>0</v>
      </c>
    </row>
    <row r="72" customFormat="false" ht="15" hidden="false" customHeight="true" outlineLevel="0" collapsed="false">
      <c r="A72" s="43" t="s">
        <v>183</v>
      </c>
      <c r="B72" s="43" t="n">
        <f aca="false">COUNTA('GenAI Controls'!C3:C24)</f>
        <v>18</v>
      </c>
      <c r="C72" s="43" t="n">
        <f aca="false">COUNTIF('GenAI Controls'!D3:D24,"Yes")</f>
        <v>0</v>
      </c>
    </row>
    <row r="73" customFormat="false" ht="15" hidden="false" customHeight="true" outlineLevel="0" collapsed="false">
      <c r="A73" s="53" t="s">
        <v>184</v>
      </c>
      <c r="B73" s="53" t="n">
        <f aca="false">SUM(B56:B72)</f>
        <v>568</v>
      </c>
      <c r="C73" s="53" t="n">
        <f aca="false">SUM(C56:C72)</f>
        <v>0</v>
      </c>
    </row>
    <row r="80" customFormat="false" ht="15" hidden="false" customHeight="true" outlineLevel="0" collapsed="false">
      <c r="A80" s="42" t="s">
        <v>185</v>
      </c>
      <c r="B80" s="42"/>
      <c r="C80" s="42"/>
      <c r="D80" s="42"/>
      <c r="E80" s="42"/>
      <c r="F80" s="42"/>
    </row>
    <row r="81" customFormat="false" ht="32.25" hidden="false" customHeight="true" outlineLevel="0" collapsed="false">
      <c r="A81" s="54" t="s">
        <v>186</v>
      </c>
      <c r="B81" s="55" t="s">
        <v>187</v>
      </c>
      <c r="C81" s="55" t="s">
        <v>188</v>
      </c>
      <c r="D81" s="55" t="s">
        <v>189</v>
      </c>
      <c r="E81" s="55" t="s">
        <v>190</v>
      </c>
      <c r="F81" s="55" t="s">
        <v>191</v>
      </c>
    </row>
    <row r="82" customFormat="false" ht="15" hidden="false" customHeight="true" outlineLevel="0" collapsed="false">
      <c r="A82" s="56" t="s">
        <v>192</v>
      </c>
      <c r="B82" s="57" t="n">
        <v>3</v>
      </c>
      <c r="C82" s="57" t="n">
        <v>2</v>
      </c>
      <c r="D82" s="57" t="n">
        <v>4</v>
      </c>
      <c r="E82" s="57" t="n">
        <v>3</v>
      </c>
      <c r="F82" s="57" t="n">
        <v>2</v>
      </c>
    </row>
    <row r="83" customFormat="false" ht="15" hidden="false" customHeight="true" outlineLevel="0" collapsed="false">
      <c r="A83" s="56" t="s">
        <v>193</v>
      </c>
      <c r="B83" s="57" t="n">
        <v>4</v>
      </c>
      <c r="C83" s="57" t="n">
        <v>3</v>
      </c>
      <c r="D83" s="57" t="n">
        <v>3</v>
      </c>
      <c r="E83" s="57" t="n">
        <v>4</v>
      </c>
      <c r="F83" s="57" t="n">
        <v>3</v>
      </c>
    </row>
    <row r="84" customFormat="false" ht="15" hidden="false" customHeight="true" outlineLevel="0" collapsed="false">
      <c r="A84" s="56" t="s">
        <v>194</v>
      </c>
      <c r="B84" s="57" t="n">
        <v>3</v>
      </c>
      <c r="C84" s="57" t="n">
        <v>4</v>
      </c>
      <c r="D84" s="57" t="n">
        <v>2</v>
      </c>
      <c r="E84" s="57" t="n">
        <v>3</v>
      </c>
      <c r="F84" s="57" t="n">
        <v>2</v>
      </c>
    </row>
    <row r="85" customFormat="false" ht="15" hidden="false" customHeight="true" outlineLevel="0" collapsed="false">
      <c r="A85" s="56" t="s">
        <v>195</v>
      </c>
      <c r="B85" s="57" t="n">
        <v>4</v>
      </c>
      <c r="C85" s="57" t="n">
        <v>2</v>
      </c>
      <c r="D85" s="57" t="n">
        <v>3</v>
      </c>
      <c r="E85" s="57" t="n">
        <v>4</v>
      </c>
      <c r="F85" s="57" t="n">
        <v>3</v>
      </c>
    </row>
    <row r="86" customFormat="false" ht="15" hidden="false" customHeight="true" outlineLevel="0" collapsed="false">
      <c r="A86" s="56" t="s">
        <v>196</v>
      </c>
      <c r="B86" s="57" t="n">
        <v>2</v>
      </c>
      <c r="C86" s="57" t="n">
        <v>3</v>
      </c>
      <c r="D86" s="57" t="n">
        <v>2</v>
      </c>
      <c r="E86" s="57" t="n">
        <v>2</v>
      </c>
      <c r="F86" s="57" t="n">
        <v>2</v>
      </c>
    </row>
    <row r="88" customFormat="false" ht="15" hidden="false" customHeight="true" outlineLevel="0" collapsed="false">
      <c r="A88" s="58" t="s">
        <v>197</v>
      </c>
      <c r="B88" s="58"/>
      <c r="C88" s="58"/>
      <c r="D88" s="58"/>
      <c r="E88" s="58"/>
      <c r="F88" s="58"/>
    </row>
    <row r="90" customFormat="false" ht="15" hidden="false" customHeight="true" outlineLevel="0" collapsed="false">
      <c r="A90" s="42" t="s">
        <v>198</v>
      </c>
      <c r="B90" s="42"/>
      <c r="C90" s="42"/>
    </row>
    <row r="91" customFormat="false" ht="15" hidden="false" customHeight="true" outlineLevel="0" collapsed="false">
      <c r="A91" s="6" t="s">
        <v>199</v>
      </c>
      <c r="B91" s="6" t="s">
        <v>126</v>
      </c>
    </row>
    <row r="92" customFormat="false" ht="15" hidden="false" customHeight="true" outlineLevel="0" collapsed="false">
      <c r="A92" s="43" t="s">
        <v>200</v>
      </c>
      <c r="B92" s="59" t="n">
        <f aca="false">COUNTIF('AI Risk Register'!J3:J200,"Open")</f>
        <v>3</v>
      </c>
    </row>
    <row r="93" customFormat="false" ht="15" hidden="false" customHeight="true" outlineLevel="0" collapsed="false">
      <c r="A93" s="43" t="s">
        <v>201</v>
      </c>
      <c r="B93" s="59" t="n">
        <f aca="false">COUNTIF('AI Risk Register'!J3:J200,"Mitigating")</f>
        <v>2</v>
      </c>
    </row>
    <row r="94" customFormat="false" ht="15" hidden="false" customHeight="true" outlineLevel="0" collapsed="false">
      <c r="A94" s="43" t="s">
        <v>202</v>
      </c>
      <c r="B94" s="59" t="n">
        <f aca="false">COUNTIF('AI Risk Register'!J3:J200,"Accepted")</f>
        <v>0</v>
      </c>
    </row>
    <row r="95" customFormat="false" ht="15" hidden="false" customHeight="true" outlineLevel="0" collapsed="false">
      <c r="A95" s="43" t="s">
        <v>203</v>
      </c>
      <c r="B95" s="59" t="n">
        <f aca="false">COUNTIF('AI Risk Register'!J3:J200,"Closed")</f>
        <v>0</v>
      </c>
    </row>
    <row r="96" customFormat="false" ht="15" hidden="false" customHeight="true" outlineLevel="0" collapsed="false">
      <c r="A96" s="43" t="s">
        <v>204</v>
      </c>
      <c r="B96" s="59" t="n">
        <f aca="false">COUNTIF('AI Incident Register'!J3:J200,"Open")</f>
        <v>1</v>
      </c>
    </row>
    <row r="97" customFormat="false" ht="15" hidden="false" customHeight="true" outlineLevel="0" collapsed="false">
      <c r="A97" s="43" t="s">
        <v>205</v>
      </c>
      <c r="B97" s="59" t="n">
        <f aca="false">COUNTIF('AI Incident Register'!J3:J200,"In Progress")</f>
        <v>1</v>
      </c>
    </row>
    <row r="98" customFormat="false" ht="15" hidden="false" customHeight="true" outlineLevel="0" collapsed="false">
      <c r="A98" s="43" t="s">
        <v>206</v>
      </c>
      <c r="B98" s="59" t="n">
        <f aca="false">COUNTIF('AI Incident Register'!J3:J200,"Closed")</f>
        <v>1</v>
      </c>
    </row>
  </sheetData>
  <mergeCells count="18">
    <mergeCell ref="A1:F1"/>
    <mergeCell ref="E3:F3"/>
    <mergeCell ref="E4:F4"/>
    <mergeCell ref="E5:F5"/>
    <mergeCell ref="A11:D11"/>
    <mergeCell ref="A19:C19"/>
    <mergeCell ref="A26:B26"/>
    <mergeCell ref="A34:C34"/>
    <mergeCell ref="A47:C47"/>
    <mergeCell ref="B48:C48"/>
    <mergeCell ref="B49:C49"/>
    <mergeCell ref="B50:C50"/>
    <mergeCell ref="B51:C51"/>
    <mergeCell ref="B52:C52"/>
    <mergeCell ref="A54:C54"/>
    <mergeCell ref="A80:F80"/>
    <mergeCell ref="A88:F88"/>
    <mergeCell ref="A90:C90"/>
  </mergeCells>
  <conditionalFormatting sqref="B82:F86">
    <cfRule type="colorScale" priority="2">
      <colorScale>
        <cfvo type="num" val="1"/>
        <cfvo type="num" val="3"/>
        <cfvo type="num" val="5"/>
        <color rgb="FF58D68D"/>
        <color rgb="FFF1C40F"/>
        <color rgb="FFC0392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32"/>
    <col collapsed="false" customWidth="true" hidden="false" outlineLevel="0" max="4" min="4" style="1" width="22"/>
    <col collapsed="false" customWidth="true" hidden="false" outlineLevel="0" max="5" min="5" style="1" width="26"/>
    <col collapsed="false" customWidth="true" hidden="false" outlineLevel="0" max="6" min="6" style="1" width="30"/>
  </cols>
  <sheetData>
    <row r="1" customFormat="false" ht="24" hidden="false" customHeight="true" outlineLevel="0" collapsed="false">
      <c r="A1" s="60" t="s">
        <v>207</v>
      </c>
      <c r="B1" s="60"/>
      <c r="C1" s="60"/>
      <c r="D1" s="60"/>
      <c r="E1" s="60"/>
      <c r="F1" s="60"/>
    </row>
    <row r="2" customFormat="false" ht="25.5" hidden="false" customHeight="true" outlineLevel="0" collapsed="false">
      <c r="A2" s="61" t="s">
        <v>208</v>
      </c>
      <c r="B2" s="61" t="s">
        <v>209</v>
      </c>
      <c r="C2" s="61" t="s">
        <v>210</v>
      </c>
      <c r="D2" s="61" t="s">
        <v>211</v>
      </c>
      <c r="E2" s="61" t="s">
        <v>212</v>
      </c>
      <c r="F2" s="61" t="s">
        <v>213</v>
      </c>
    </row>
    <row r="3" customFormat="false" ht="15" hidden="false" customHeight="true" outlineLevel="0" collapsed="false">
      <c r="A3" s="62" t="s">
        <v>214</v>
      </c>
      <c r="B3" s="8" t="s">
        <v>215</v>
      </c>
      <c r="C3" s="8" t="s">
        <v>216</v>
      </c>
      <c r="D3" s="8" t="s">
        <v>217</v>
      </c>
      <c r="E3" s="8" t="s">
        <v>218</v>
      </c>
      <c r="F3" s="8" t="s">
        <v>219</v>
      </c>
    </row>
    <row r="4" customFormat="false" ht="15" hidden="false" customHeight="true" outlineLevel="0" collapsed="false">
      <c r="A4" s="62" t="s">
        <v>220</v>
      </c>
      <c r="B4" s="8" t="s">
        <v>221</v>
      </c>
      <c r="C4" s="8" t="s">
        <v>222</v>
      </c>
      <c r="D4" s="8" t="s">
        <v>223</v>
      </c>
      <c r="E4" s="8" t="s">
        <v>224</v>
      </c>
      <c r="F4" s="8" t="s">
        <v>225</v>
      </c>
    </row>
    <row r="5" customFormat="false" ht="15" hidden="false" customHeight="true" outlineLevel="0" collapsed="false">
      <c r="A5" s="62" t="s">
        <v>226</v>
      </c>
      <c r="B5" s="8" t="s">
        <v>221</v>
      </c>
      <c r="C5" s="8" t="s">
        <v>227</v>
      </c>
      <c r="D5" s="8" t="s">
        <v>228</v>
      </c>
      <c r="E5" s="8" t="s">
        <v>229</v>
      </c>
      <c r="F5" s="8" t="s">
        <v>230</v>
      </c>
    </row>
    <row r="6" customFormat="false" ht="15" hidden="false" customHeight="true" outlineLevel="0" collapsed="false">
      <c r="A6" s="62" t="s">
        <v>231</v>
      </c>
      <c r="B6" s="8" t="s">
        <v>221</v>
      </c>
      <c r="C6" s="8" t="s">
        <v>232</v>
      </c>
      <c r="D6" s="8" t="s">
        <v>233</v>
      </c>
      <c r="E6" s="8" t="s">
        <v>234</v>
      </c>
      <c r="F6" s="8" t="s">
        <v>235</v>
      </c>
    </row>
    <row r="7" customFormat="false" ht="15" hidden="false" customHeight="true" outlineLevel="0" collapsed="false">
      <c r="A7" s="62" t="s">
        <v>236</v>
      </c>
      <c r="B7" s="8" t="s">
        <v>237</v>
      </c>
      <c r="C7" s="8" t="s">
        <v>238</v>
      </c>
      <c r="D7" s="8" t="s">
        <v>239</v>
      </c>
      <c r="E7" s="8" t="s">
        <v>240</v>
      </c>
      <c r="F7" s="8" t="s">
        <v>241</v>
      </c>
    </row>
    <row r="8" customFormat="false" ht="15" hidden="false" customHeight="true" outlineLevel="0" collapsed="false">
      <c r="A8" s="62" t="s">
        <v>242</v>
      </c>
      <c r="B8" s="8" t="s">
        <v>243</v>
      </c>
      <c r="C8" s="8" t="s">
        <v>244</v>
      </c>
      <c r="D8" s="8" t="s">
        <v>245</v>
      </c>
      <c r="E8" s="8" t="s">
        <v>246</v>
      </c>
      <c r="F8" s="8" t="s">
        <v>247</v>
      </c>
    </row>
    <row r="9" customFormat="false" ht="15" hidden="false" customHeight="true" outlineLevel="0" collapsed="false">
      <c r="A9" s="62" t="s">
        <v>248</v>
      </c>
      <c r="B9" s="8" t="s">
        <v>249</v>
      </c>
      <c r="C9" s="8" t="s">
        <v>250</v>
      </c>
      <c r="D9" s="8" t="s">
        <v>251</v>
      </c>
      <c r="E9" s="8" t="s">
        <v>252</v>
      </c>
      <c r="F9" s="8" t="s">
        <v>253</v>
      </c>
    </row>
    <row r="10" customFormat="false" ht="23.25" hidden="false" customHeight="true" outlineLevel="0" collapsed="false">
      <c r="A10" s="62" t="s">
        <v>254</v>
      </c>
      <c r="B10" s="8" t="s">
        <v>255</v>
      </c>
      <c r="C10" s="8" t="s">
        <v>256</v>
      </c>
      <c r="D10" s="8" t="s">
        <v>257</v>
      </c>
      <c r="E10" s="8" t="s">
        <v>258</v>
      </c>
      <c r="F10" s="8" t="s">
        <v>259</v>
      </c>
    </row>
    <row r="11" customFormat="false" ht="15" hidden="false" customHeight="true" outlineLevel="0" collapsed="false">
      <c r="A11" s="62" t="s">
        <v>260</v>
      </c>
      <c r="B11" s="8" t="s">
        <v>221</v>
      </c>
      <c r="C11" s="8" t="s">
        <v>261</v>
      </c>
      <c r="D11" s="8" t="s">
        <v>262</v>
      </c>
      <c r="E11" s="8" t="s">
        <v>263</v>
      </c>
      <c r="F11" s="8" t="s">
        <v>264</v>
      </c>
    </row>
    <row r="12" customFormat="false" ht="15" hidden="false" customHeight="true" outlineLevel="0" collapsed="false">
      <c r="A12" s="62" t="s">
        <v>265</v>
      </c>
      <c r="B12" s="8" t="s">
        <v>266</v>
      </c>
      <c r="C12" s="8" t="s">
        <v>267</v>
      </c>
      <c r="D12" s="8" t="s">
        <v>268</v>
      </c>
      <c r="E12" s="8" t="s">
        <v>269</v>
      </c>
      <c r="F12" s="8" t="s">
        <v>270</v>
      </c>
    </row>
    <row r="13" customFormat="false" ht="15" hidden="false" customHeight="true" outlineLevel="0" collapsed="false">
      <c r="A13" s="62" t="s">
        <v>271</v>
      </c>
      <c r="B13" s="8" t="s">
        <v>266</v>
      </c>
      <c r="C13" s="8" t="s">
        <v>272</v>
      </c>
      <c r="D13" s="8" t="s">
        <v>273</v>
      </c>
      <c r="E13" s="8" t="s">
        <v>274</v>
      </c>
      <c r="F13" s="8" t="s">
        <v>275</v>
      </c>
    </row>
    <row r="14" customFormat="false" ht="23.25" hidden="false" customHeight="true" outlineLevel="0" collapsed="false">
      <c r="A14" s="62" t="s">
        <v>276</v>
      </c>
      <c r="B14" s="8" t="s">
        <v>277</v>
      </c>
      <c r="C14" s="8" t="s">
        <v>278</v>
      </c>
      <c r="D14" s="8" t="s">
        <v>279</v>
      </c>
      <c r="E14" s="8" t="s">
        <v>280</v>
      </c>
      <c r="F14" s="8" t="s">
        <v>281</v>
      </c>
    </row>
    <row r="15" customFormat="false" ht="23.25" hidden="false" customHeight="true" outlineLevel="0" collapsed="false">
      <c r="A15" s="62" t="s">
        <v>282</v>
      </c>
      <c r="B15" s="8" t="s">
        <v>221</v>
      </c>
      <c r="C15" s="8" t="s">
        <v>283</v>
      </c>
      <c r="D15" s="8" t="s">
        <v>284</v>
      </c>
      <c r="E15" s="8" t="s">
        <v>285</v>
      </c>
      <c r="F15" s="8" t="s">
        <v>286</v>
      </c>
    </row>
    <row r="16" customFormat="false" ht="15" hidden="false" customHeight="true" outlineLevel="0" collapsed="false">
      <c r="A16" s="62" t="s">
        <v>287</v>
      </c>
      <c r="B16" s="8" t="s">
        <v>221</v>
      </c>
      <c r="C16" s="8" t="s">
        <v>288</v>
      </c>
      <c r="D16" s="8" t="s">
        <v>289</v>
      </c>
      <c r="E16" s="8" t="s">
        <v>290</v>
      </c>
      <c r="F16" s="8" t="s">
        <v>291</v>
      </c>
    </row>
    <row r="18" customFormat="false" ht="15" hidden="false" customHeight="true" outlineLevel="0" collapsed="false">
      <c r="A18" s="58" t="s">
        <v>292</v>
      </c>
      <c r="B18" s="58"/>
      <c r="C18" s="58"/>
      <c r="D18" s="58"/>
      <c r="E18" s="58"/>
      <c r="F18" s="58"/>
    </row>
  </sheetData>
  <mergeCells count="2">
    <mergeCell ref="A1:F1"/>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4" min="3" style="1" width="22"/>
    <col collapsed="false" customWidth="true" hidden="false" outlineLevel="0" max="5" min="5" style="1" width="24"/>
    <col collapsed="false" customWidth="true" hidden="false" outlineLevel="0" max="6" min="6" style="1" width="20"/>
    <col collapsed="false" customWidth="true" hidden="false" outlineLevel="0" max="7" min="7" style="1" width="32"/>
  </cols>
  <sheetData>
    <row r="1" customFormat="false" ht="24" hidden="false" customHeight="true" outlineLevel="0" collapsed="false">
      <c r="A1" s="60" t="s">
        <v>293</v>
      </c>
      <c r="B1" s="60"/>
      <c r="C1" s="60"/>
      <c r="D1" s="60"/>
      <c r="E1" s="60"/>
      <c r="F1" s="60"/>
      <c r="G1" s="60"/>
    </row>
    <row r="2" customFormat="false" ht="27.75" hidden="false" customHeight="true" outlineLevel="0" collapsed="false">
      <c r="A2" s="61" t="s">
        <v>208</v>
      </c>
      <c r="B2" s="61" t="s">
        <v>294</v>
      </c>
      <c r="C2" s="61" t="s">
        <v>123</v>
      </c>
      <c r="D2" s="61" t="s">
        <v>121</v>
      </c>
      <c r="E2" s="61" t="s">
        <v>122</v>
      </c>
      <c r="F2" s="61" t="s">
        <v>170</v>
      </c>
      <c r="G2" s="61" t="s">
        <v>295</v>
      </c>
    </row>
    <row r="3" customFormat="false" ht="23.25" hidden="false" customHeight="true" outlineLevel="0" collapsed="false">
      <c r="A3" s="62" t="s">
        <v>296</v>
      </c>
      <c r="B3" s="8" t="s">
        <v>297</v>
      </c>
      <c r="C3" s="8" t="s">
        <v>298</v>
      </c>
      <c r="D3" s="8" t="s">
        <v>299</v>
      </c>
      <c r="E3" s="8" t="s">
        <v>300</v>
      </c>
      <c r="F3" s="8" t="s">
        <v>301</v>
      </c>
      <c r="G3" s="8" t="s">
        <v>302</v>
      </c>
    </row>
    <row r="4" customFormat="false" ht="23.25" hidden="false" customHeight="true" outlineLevel="0" collapsed="false">
      <c r="A4" s="62" t="s">
        <v>303</v>
      </c>
      <c r="B4" s="8" t="s">
        <v>304</v>
      </c>
      <c r="C4" s="8" t="s">
        <v>305</v>
      </c>
      <c r="D4" s="8" t="s">
        <v>306</v>
      </c>
      <c r="E4" s="8" t="s">
        <v>307</v>
      </c>
      <c r="F4" s="8" t="s">
        <v>301</v>
      </c>
      <c r="G4" s="8" t="s">
        <v>308</v>
      </c>
    </row>
    <row r="5" customFormat="false" ht="23.25" hidden="false" customHeight="true" outlineLevel="0" collapsed="false">
      <c r="A5" s="62" t="s">
        <v>309</v>
      </c>
      <c r="B5" s="8" t="s">
        <v>310</v>
      </c>
      <c r="C5" s="8" t="s">
        <v>311</v>
      </c>
      <c r="D5" s="8" t="s">
        <v>312</v>
      </c>
      <c r="E5" s="8" t="s">
        <v>313</v>
      </c>
      <c r="F5" s="8" t="s">
        <v>314</v>
      </c>
      <c r="G5" s="8" t="s">
        <v>315</v>
      </c>
    </row>
    <row r="6" customFormat="false" ht="23.25" hidden="false" customHeight="true" outlineLevel="0" collapsed="false">
      <c r="A6" s="62" t="s">
        <v>316</v>
      </c>
      <c r="B6" s="8" t="s">
        <v>317</v>
      </c>
      <c r="C6" s="8" t="s">
        <v>318</v>
      </c>
      <c r="D6" s="8" t="s">
        <v>319</v>
      </c>
      <c r="E6" s="8" t="s">
        <v>320</v>
      </c>
      <c r="F6" s="8" t="s">
        <v>321</v>
      </c>
      <c r="G6" s="8" t="s">
        <v>322</v>
      </c>
    </row>
    <row r="7" customFormat="false" ht="15" hidden="false" customHeight="true" outlineLevel="0" collapsed="false">
      <c r="A7" s="62" t="s">
        <v>323</v>
      </c>
      <c r="B7" s="8" t="s">
        <v>324</v>
      </c>
      <c r="C7" s="8" t="s">
        <v>325</v>
      </c>
      <c r="D7" s="8" t="s">
        <v>326</v>
      </c>
      <c r="E7" s="8" t="s">
        <v>327</v>
      </c>
      <c r="F7" s="8" t="s">
        <v>328</v>
      </c>
      <c r="G7" s="8" t="s">
        <v>329</v>
      </c>
    </row>
    <row r="8" customFormat="false" ht="15" hidden="false" customHeight="true" outlineLevel="0" collapsed="false">
      <c r="A8" s="62" t="s">
        <v>330</v>
      </c>
      <c r="B8" s="8" t="s">
        <v>331</v>
      </c>
      <c r="C8" s="8" t="s">
        <v>332</v>
      </c>
      <c r="D8" s="8" t="s">
        <v>333</v>
      </c>
      <c r="E8" s="8" t="s">
        <v>334</v>
      </c>
      <c r="F8" s="8" t="s">
        <v>335</v>
      </c>
      <c r="G8" s="8" t="s">
        <v>336</v>
      </c>
    </row>
    <row r="9" customFormat="false" ht="23.25" hidden="false" customHeight="true" outlineLevel="0" collapsed="false">
      <c r="A9" s="62" t="s">
        <v>337</v>
      </c>
      <c r="B9" s="8" t="s">
        <v>338</v>
      </c>
      <c r="C9" s="8" t="s">
        <v>339</v>
      </c>
      <c r="D9" s="8" t="s">
        <v>340</v>
      </c>
      <c r="E9" s="8" t="s">
        <v>341</v>
      </c>
      <c r="F9" s="8" t="s">
        <v>342</v>
      </c>
      <c r="G9" s="8" t="s">
        <v>343</v>
      </c>
    </row>
    <row r="10" customFormat="false" ht="23.25" hidden="false" customHeight="true" outlineLevel="0" collapsed="false">
      <c r="A10" s="62" t="s">
        <v>344</v>
      </c>
      <c r="B10" s="8" t="s">
        <v>345</v>
      </c>
      <c r="C10" s="8" t="s">
        <v>346</v>
      </c>
      <c r="D10" s="8" t="s">
        <v>326</v>
      </c>
      <c r="E10" s="8" t="s">
        <v>347</v>
      </c>
      <c r="F10" s="8" t="s">
        <v>301</v>
      </c>
      <c r="G10" s="8" t="s">
        <v>348</v>
      </c>
    </row>
    <row r="11" customFormat="false" ht="23.25" hidden="false" customHeight="true" outlineLevel="0" collapsed="false">
      <c r="A11" s="62" t="s">
        <v>349</v>
      </c>
      <c r="B11" s="8" t="s">
        <v>350</v>
      </c>
      <c r="C11" s="8" t="s">
        <v>351</v>
      </c>
      <c r="D11" s="8" t="s">
        <v>352</v>
      </c>
      <c r="E11" s="8" t="s">
        <v>353</v>
      </c>
      <c r="F11" s="8" t="s">
        <v>354</v>
      </c>
      <c r="G11" s="8" t="s">
        <v>355</v>
      </c>
    </row>
    <row r="12" customFormat="false" ht="23.25" hidden="false" customHeight="true" outlineLevel="0" collapsed="false">
      <c r="A12" s="62" t="s">
        <v>356</v>
      </c>
      <c r="B12" s="8" t="s">
        <v>357</v>
      </c>
      <c r="C12" s="8" t="s">
        <v>358</v>
      </c>
      <c r="D12" s="8" t="s">
        <v>359</v>
      </c>
      <c r="E12" s="8" t="s">
        <v>360</v>
      </c>
      <c r="F12" s="8" t="s">
        <v>301</v>
      </c>
      <c r="G12" s="8" t="s">
        <v>361</v>
      </c>
    </row>
    <row r="13" customFormat="false" ht="23.25" hidden="false" customHeight="true" outlineLevel="0" collapsed="false">
      <c r="A13" s="62" t="s">
        <v>362</v>
      </c>
      <c r="B13" s="8" t="s">
        <v>363</v>
      </c>
      <c r="C13" s="8" t="s">
        <v>364</v>
      </c>
      <c r="D13" s="8" t="s">
        <v>365</v>
      </c>
      <c r="E13" s="8" t="s">
        <v>366</v>
      </c>
      <c r="F13" s="8" t="s">
        <v>301</v>
      </c>
      <c r="G13" s="8" t="s">
        <v>367</v>
      </c>
    </row>
    <row r="14" customFormat="false" ht="23.25" hidden="false" customHeight="true" outlineLevel="0" collapsed="false">
      <c r="A14" s="62" t="s">
        <v>368</v>
      </c>
      <c r="B14" s="8" t="s">
        <v>369</v>
      </c>
      <c r="C14" s="8" t="s">
        <v>370</v>
      </c>
      <c r="D14" s="8" t="s">
        <v>371</v>
      </c>
      <c r="E14" s="8" t="s">
        <v>372</v>
      </c>
      <c r="F14" s="8" t="s">
        <v>373</v>
      </c>
      <c r="G14" s="8" t="s">
        <v>374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4"/>
    <col collapsed="false" customWidth="true" hidden="false" outlineLevel="0" max="3" min="3" style="1" width="18"/>
    <col collapsed="false" customWidth="true" hidden="false" outlineLevel="0" max="4" min="4" style="1" width="14"/>
    <col collapsed="false" customWidth="true" hidden="false" outlineLevel="0" max="5" min="5" style="1" width="30"/>
    <col collapsed="false" customWidth="true" hidden="false" outlineLevel="0" max="7" min="6" style="1" width="14"/>
  </cols>
  <sheetData>
    <row r="1" customFormat="false" ht="24" hidden="false" customHeight="true" outlineLevel="0" collapsed="false">
      <c r="A1" s="60" t="s">
        <v>375</v>
      </c>
      <c r="B1" s="60"/>
      <c r="C1" s="60"/>
      <c r="D1" s="60"/>
      <c r="E1" s="60"/>
      <c r="F1" s="60"/>
      <c r="G1" s="60"/>
    </row>
    <row r="2" customFormat="false" ht="25.5" hidden="false" customHeight="true" outlineLevel="0" collapsed="false">
      <c r="A2" s="61" t="s">
        <v>376</v>
      </c>
      <c r="B2" s="61" t="s">
        <v>377</v>
      </c>
      <c r="C2" s="61" t="s">
        <v>209</v>
      </c>
      <c r="D2" s="61" t="s">
        <v>378</v>
      </c>
      <c r="E2" s="61" t="s">
        <v>379</v>
      </c>
      <c r="F2" s="61" t="s">
        <v>380</v>
      </c>
      <c r="G2" s="61" t="s">
        <v>381</v>
      </c>
    </row>
    <row r="3" customFormat="false" ht="23.25" hidden="false" customHeight="true" outlineLevel="0" collapsed="false">
      <c r="A3" s="62" t="s">
        <v>382</v>
      </c>
      <c r="B3" s="8" t="s">
        <v>383</v>
      </c>
      <c r="C3" s="8" t="s">
        <v>221</v>
      </c>
      <c r="D3" s="8" t="s">
        <v>384</v>
      </c>
      <c r="E3" s="8" t="s">
        <v>385</v>
      </c>
      <c r="F3" s="8"/>
      <c r="G3" s="8" t="s">
        <v>386</v>
      </c>
    </row>
    <row r="4" customFormat="false" ht="15" hidden="false" customHeight="true" outlineLevel="0" collapsed="false">
      <c r="A4" s="62" t="s">
        <v>387</v>
      </c>
      <c r="B4" s="8" t="s">
        <v>388</v>
      </c>
      <c r="C4" s="8" t="s">
        <v>389</v>
      </c>
      <c r="D4" s="8" t="s">
        <v>390</v>
      </c>
      <c r="E4" s="8" t="s">
        <v>391</v>
      </c>
      <c r="F4" s="8"/>
      <c r="G4" s="8" t="s">
        <v>386</v>
      </c>
    </row>
    <row r="5" customFormat="false" ht="23.25" hidden="false" customHeight="true" outlineLevel="0" collapsed="false">
      <c r="A5" s="62" t="s">
        <v>392</v>
      </c>
      <c r="B5" s="8" t="s">
        <v>393</v>
      </c>
      <c r="C5" s="8" t="s">
        <v>237</v>
      </c>
      <c r="D5" s="8" t="s">
        <v>394</v>
      </c>
      <c r="E5" s="8" t="s">
        <v>395</v>
      </c>
      <c r="F5" s="8"/>
      <c r="G5" s="8" t="s">
        <v>386</v>
      </c>
    </row>
    <row r="6" customFormat="false" ht="23.25" hidden="false" customHeight="true" outlineLevel="0" collapsed="false">
      <c r="A6" s="62" t="s">
        <v>396</v>
      </c>
      <c r="B6" s="8" t="s">
        <v>397</v>
      </c>
      <c r="C6" s="8" t="s">
        <v>221</v>
      </c>
      <c r="D6" s="8" t="s">
        <v>398</v>
      </c>
      <c r="E6" s="8" t="s">
        <v>399</v>
      </c>
      <c r="F6" s="8"/>
      <c r="G6" s="8" t="s">
        <v>386</v>
      </c>
    </row>
    <row r="7" customFormat="false" ht="23.25" hidden="false" customHeight="true" outlineLevel="0" collapsed="false">
      <c r="A7" s="62" t="s">
        <v>400</v>
      </c>
      <c r="B7" s="8" t="s">
        <v>401</v>
      </c>
      <c r="C7" s="8" t="s">
        <v>255</v>
      </c>
      <c r="D7" s="8" t="s">
        <v>394</v>
      </c>
      <c r="E7" s="8" t="s">
        <v>402</v>
      </c>
      <c r="F7" s="8"/>
      <c r="G7" s="8" t="s">
        <v>386</v>
      </c>
    </row>
    <row r="8" customFormat="false" ht="23.25" hidden="false" customHeight="true" outlineLevel="0" collapsed="false">
      <c r="A8" s="62" t="s">
        <v>403</v>
      </c>
      <c r="B8" s="8" t="s">
        <v>404</v>
      </c>
      <c r="C8" s="8" t="s">
        <v>266</v>
      </c>
      <c r="D8" s="8" t="s">
        <v>405</v>
      </c>
      <c r="E8" s="8" t="s">
        <v>406</v>
      </c>
      <c r="F8" s="8"/>
      <c r="G8" s="8" t="s">
        <v>386</v>
      </c>
    </row>
    <row r="9" customFormat="false" ht="23.25" hidden="false" customHeight="true" outlineLevel="0" collapsed="false">
      <c r="A9" s="62" t="s">
        <v>407</v>
      </c>
      <c r="B9" s="8" t="s">
        <v>408</v>
      </c>
      <c r="C9" s="8" t="s">
        <v>277</v>
      </c>
      <c r="D9" s="8" t="s">
        <v>409</v>
      </c>
      <c r="E9" s="8" t="s">
        <v>410</v>
      </c>
      <c r="F9" s="8"/>
      <c r="G9" s="8" t="s">
        <v>386</v>
      </c>
    </row>
    <row r="11" customFormat="false" ht="15" hidden="false" customHeight="true" outlineLevel="0" collapsed="false">
      <c r="A11" s="58" t="s">
        <v>411</v>
      </c>
      <c r="B11" s="58"/>
      <c r="C11" s="58"/>
      <c r="D11" s="58"/>
      <c r="E11" s="58"/>
      <c r="F11" s="58"/>
      <c r="G11" s="58"/>
    </row>
  </sheetData>
  <mergeCells count="2">
    <mergeCell ref="A1:G1"/>
    <mergeCell ref="A11:G11"/>
  </mergeCells>
  <conditionalFormatting sqref="G3:G9">
    <cfRule type="cellIs" priority="2" operator="equal" aboveAverage="0" equalAverage="0" bottom="0" percent="0" rank="0" text="" dxfId="0">
      <formula>"Not Started"</formula>
    </cfRule>
    <cfRule type="cellIs" priority="3" operator="equal" aboveAverage="0" equalAverage="0" bottom="0" percent="0" rank="0" text="" dxfId="1">
      <formula>"In Progress"</formula>
    </cfRule>
    <cfRule type="cellIs" priority="4" operator="equal" aboveAverage="0" equalAverage="0" bottom="0" percent="0" rank="0" text="" dxfId="2">
      <formula>"Complete"</formula>
    </cfRule>
    <cfRule type="cellIs" priority="5" operator="equal" aboveAverage="0" equalAverage="0" bottom="0" percent="0" rank="0" text="" dxfId="3">
      <formula>"Blocked"</formula>
    </cfRule>
  </conditionalFormatting>
  <dataValidations count="1">
    <dataValidation allowBlank="true" errorStyle="stop" operator="between" showDropDown="false" showErrorMessage="false" showInputMessage="false" sqref="G3:G9" type="list">
      <formula1>"Not Started,In Progress,Complete,Blocked"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34"/>
    <col collapsed="false" customWidth="true" hidden="false" outlineLevel="0" max="4" min="4" style="1" width="16"/>
    <col collapsed="false" customWidth="true" hidden="false" outlineLevel="0" max="5" min="5" style="1" width="28"/>
    <col collapsed="false" customWidth="true" hidden="false" outlineLevel="0" max="6" min="6" style="1" width="14"/>
  </cols>
  <sheetData>
    <row r="1" customFormat="false" ht="24" hidden="false" customHeight="true" outlineLevel="0" collapsed="false">
      <c r="A1" s="60" t="s">
        <v>412</v>
      </c>
      <c r="B1" s="60"/>
      <c r="C1" s="60"/>
      <c r="D1" s="60"/>
      <c r="E1" s="60"/>
      <c r="F1" s="60"/>
    </row>
    <row r="2" customFormat="false" ht="25.5" hidden="false" customHeight="true" outlineLevel="0" collapsed="false">
      <c r="A2" s="61" t="s">
        <v>413</v>
      </c>
      <c r="B2" s="61" t="s">
        <v>414</v>
      </c>
      <c r="C2" s="61" t="s">
        <v>415</v>
      </c>
      <c r="D2" s="61" t="s">
        <v>416</v>
      </c>
      <c r="E2" s="61" t="s">
        <v>417</v>
      </c>
      <c r="F2" s="61" t="s">
        <v>418</v>
      </c>
    </row>
    <row r="3" customFormat="false" ht="23.25" hidden="false" customHeight="true" outlineLevel="0" collapsed="false">
      <c r="A3" s="62" t="s">
        <v>419</v>
      </c>
      <c r="B3" s="8" t="s">
        <v>420</v>
      </c>
      <c r="C3" s="8" t="s">
        <v>421</v>
      </c>
      <c r="D3" s="8" t="s">
        <v>221</v>
      </c>
      <c r="E3" s="8" t="s">
        <v>422</v>
      </c>
      <c r="F3" s="8"/>
    </row>
    <row r="4" customFormat="false" ht="23.25" hidden="false" customHeight="true" outlineLevel="0" collapsed="false">
      <c r="A4" s="62" t="s">
        <v>423</v>
      </c>
      <c r="B4" s="8" t="s">
        <v>424</v>
      </c>
      <c r="C4" s="8" t="s">
        <v>425</v>
      </c>
      <c r="D4" s="8" t="s">
        <v>221</v>
      </c>
      <c r="E4" s="8" t="s">
        <v>426</v>
      </c>
      <c r="F4" s="8"/>
    </row>
    <row r="5" customFormat="false" ht="23.25" hidden="false" customHeight="true" outlineLevel="0" collapsed="false">
      <c r="A5" s="62" t="s">
        <v>427</v>
      </c>
      <c r="B5" s="8" t="s">
        <v>428</v>
      </c>
      <c r="C5" s="8" t="s">
        <v>429</v>
      </c>
      <c r="D5" s="8" t="s">
        <v>249</v>
      </c>
      <c r="E5" s="8" t="s">
        <v>430</v>
      </c>
      <c r="F5" s="8"/>
    </row>
    <row r="6" customFormat="false" ht="23.25" hidden="false" customHeight="true" outlineLevel="0" collapsed="false">
      <c r="A6" s="62" t="s">
        <v>431</v>
      </c>
      <c r="B6" s="8" t="s">
        <v>432</v>
      </c>
      <c r="C6" s="8" t="s">
        <v>433</v>
      </c>
      <c r="D6" s="8" t="s">
        <v>434</v>
      </c>
      <c r="E6" s="8" t="s">
        <v>259</v>
      </c>
      <c r="F6" s="8"/>
    </row>
    <row r="7" customFormat="false" ht="23.25" hidden="false" customHeight="true" outlineLevel="0" collapsed="false">
      <c r="A7" s="62" t="s">
        <v>435</v>
      </c>
      <c r="B7" s="8" t="s">
        <v>436</v>
      </c>
      <c r="C7" s="8" t="s">
        <v>437</v>
      </c>
      <c r="D7" s="8" t="s">
        <v>242</v>
      </c>
      <c r="E7" s="8" t="s">
        <v>438</v>
      </c>
      <c r="F7" s="8"/>
    </row>
    <row r="8" customFormat="false" ht="23.25" hidden="false" customHeight="true" outlineLevel="0" collapsed="false">
      <c r="A8" s="62" t="s">
        <v>439</v>
      </c>
      <c r="B8" s="8" t="s">
        <v>440</v>
      </c>
      <c r="C8" s="8" t="s">
        <v>441</v>
      </c>
      <c r="D8" s="8" t="s">
        <v>266</v>
      </c>
      <c r="E8" s="8" t="s">
        <v>275</v>
      </c>
      <c r="F8" s="8"/>
    </row>
    <row r="9" customFormat="false" ht="23.25" hidden="false" customHeight="true" outlineLevel="0" collapsed="false">
      <c r="A9" s="62" t="s">
        <v>442</v>
      </c>
      <c r="B9" s="8" t="s">
        <v>443</v>
      </c>
      <c r="C9" s="8" t="s">
        <v>444</v>
      </c>
      <c r="D9" s="8" t="s">
        <v>221</v>
      </c>
      <c r="E9" s="8" t="s">
        <v>445</v>
      </c>
      <c r="F9" s="8"/>
    </row>
    <row r="11" customFormat="false" ht="15" hidden="false" customHeight="true" outlineLevel="0" collapsed="false">
      <c r="A11" s="58" t="s">
        <v>446</v>
      </c>
      <c r="B11" s="58"/>
      <c r="C11" s="58"/>
      <c r="D11" s="58"/>
      <c r="E11" s="58"/>
      <c r="F11" s="58"/>
    </row>
  </sheetData>
  <mergeCells count="2">
    <mergeCell ref="A1:F1"/>
    <mergeCell ref="A11:F11"/>
  </mergeCells>
  <conditionalFormatting sqref="F3:F9">
    <cfRule type="cellIs" priority="2" operator="equal" aboveAverage="0" equalAverage="0" bottom="0" percent="0" rank="0" text="" dxfId="4">
      <formula>"Pass"</formula>
    </cfRule>
    <cfRule type="cellIs" priority="3" operator="equal" aboveAverage="0" equalAverage="0" bottom="0" percent="0" rank="0" text="" dxfId="5">
      <formula>"Conditional Pass"</formula>
    </cfRule>
    <cfRule type="cellIs" priority="4" operator="equal" aboveAverage="0" equalAverage="0" bottom="0" percent="0" rank="0" text="" dxfId="3">
      <formula>"Fail"</formula>
    </cfRule>
    <cfRule type="cellIs" priority="5" operator="equal" aboveAverage="0" equalAverage="0" bottom="0" percent="0" rank="0" text="" dxfId="0">
      <formula>"Pending"</formula>
    </cfRule>
  </conditionalFormatting>
  <dataValidations count="1">
    <dataValidation allowBlank="true" errorStyle="stop" operator="between" showDropDown="false" showErrorMessage="false" showInputMessage="false" sqref="F3:F9" type="list">
      <formula1>"Pass,Conditional 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6"/>
    <col collapsed="false" customWidth="true" hidden="false" outlineLevel="0" max="6" min="6" style="0" width="14"/>
  </cols>
  <sheetData>
    <row r="1" customFormat="false" ht="24" hidden="false" customHeight="true" outlineLevel="0" collapsed="false">
      <c r="A1" s="60" t="s">
        <v>447</v>
      </c>
      <c r="B1" s="60"/>
      <c r="C1" s="60"/>
      <c r="D1" s="60"/>
      <c r="E1" s="60"/>
      <c r="F1" s="60"/>
    </row>
    <row r="2" customFormat="false" ht="25.5" hidden="false" customHeight="true" outlineLevel="0" collapsed="false">
      <c r="A2" s="61" t="s">
        <v>448</v>
      </c>
      <c r="B2" s="61" t="s">
        <v>123</v>
      </c>
      <c r="C2" s="61" t="s">
        <v>121</v>
      </c>
      <c r="D2" s="61" t="s">
        <v>122</v>
      </c>
      <c r="E2" s="61" t="s">
        <v>170</v>
      </c>
      <c r="F2" s="61" t="s">
        <v>449</v>
      </c>
    </row>
    <row r="3" customFormat="false" ht="15" hidden="false" customHeight="false" outlineLevel="0" collapsed="false">
      <c r="A3" s="63" t="s">
        <v>450</v>
      </c>
      <c r="B3" s="64" t="s">
        <v>451</v>
      </c>
      <c r="C3" s="64" t="s">
        <v>451</v>
      </c>
      <c r="D3" s="64"/>
      <c r="E3" s="64" t="s">
        <v>451</v>
      </c>
      <c r="F3" s="64"/>
    </row>
    <row r="4" customFormat="false" ht="15" hidden="false" customHeight="false" outlineLevel="0" collapsed="false">
      <c r="A4" s="63" t="s">
        <v>452</v>
      </c>
      <c r="B4" s="64" t="s">
        <v>451</v>
      </c>
      <c r="C4" s="64" t="s">
        <v>451</v>
      </c>
      <c r="D4" s="64" t="s">
        <v>451</v>
      </c>
      <c r="E4" s="64"/>
      <c r="F4" s="64"/>
    </row>
    <row r="5" customFormat="false" ht="15" hidden="false" customHeight="false" outlineLevel="0" collapsed="false">
      <c r="A5" s="63" t="s">
        <v>231</v>
      </c>
      <c r="B5" s="64" t="s">
        <v>451</v>
      </c>
      <c r="C5" s="64" t="s">
        <v>451</v>
      </c>
      <c r="D5" s="64" t="s">
        <v>451</v>
      </c>
      <c r="E5" s="64"/>
      <c r="F5" s="64"/>
    </row>
    <row r="6" customFormat="false" ht="15" hidden="false" customHeight="false" outlineLevel="0" collapsed="false">
      <c r="A6" s="63" t="s">
        <v>453</v>
      </c>
      <c r="B6" s="64" t="s">
        <v>451</v>
      </c>
      <c r="C6" s="64" t="s">
        <v>451</v>
      </c>
      <c r="D6" s="64" t="s">
        <v>451</v>
      </c>
      <c r="E6" s="64"/>
      <c r="F6" s="64"/>
    </row>
    <row r="7" customFormat="false" ht="15" hidden="false" customHeight="false" outlineLevel="0" collapsed="false">
      <c r="A7" s="63" t="s">
        <v>173</v>
      </c>
      <c r="B7" s="64" t="s">
        <v>451</v>
      </c>
      <c r="C7" s="64" t="s">
        <v>451</v>
      </c>
      <c r="D7" s="64" t="s">
        <v>451</v>
      </c>
      <c r="E7" s="64" t="s">
        <v>451</v>
      </c>
      <c r="F7" s="64"/>
    </row>
    <row r="8" customFormat="false" ht="15" hidden="false" customHeight="false" outlineLevel="0" collapsed="false">
      <c r="A8" s="63" t="s">
        <v>454</v>
      </c>
      <c r="B8" s="64"/>
      <c r="C8" s="64" t="s">
        <v>451</v>
      </c>
      <c r="D8" s="64" t="s">
        <v>451</v>
      </c>
      <c r="E8" s="64" t="s">
        <v>451</v>
      </c>
      <c r="F8" s="64"/>
    </row>
    <row r="9" customFormat="false" ht="15" hidden="false" customHeight="false" outlineLevel="0" collapsed="false">
      <c r="A9" s="63" t="s">
        <v>455</v>
      </c>
      <c r="B9" s="64"/>
      <c r="C9" s="64" t="s">
        <v>451</v>
      </c>
      <c r="D9" s="64" t="s">
        <v>451</v>
      </c>
      <c r="E9" s="64" t="s">
        <v>451</v>
      </c>
      <c r="F9" s="64"/>
    </row>
    <row r="10" customFormat="false" ht="15" hidden="false" customHeight="false" outlineLevel="0" collapsed="false">
      <c r="A10" s="63" t="s">
        <v>328</v>
      </c>
      <c r="B10" s="64" t="s">
        <v>451</v>
      </c>
      <c r="C10" s="64" t="s">
        <v>451</v>
      </c>
      <c r="D10" s="64" t="s">
        <v>451</v>
      </c>
      <c r="E10" s="64" t="s">
        <v>451</v>
      </c>
      <c r="F10" s="64" t="s">
        <v>451</v>
      </c>
    </row>
    <row r="11" customFormat="false" ht="15" hidden="false" customHeight="false" outlineLevel="0" collapsed="false">
      <c r="A11" s="63" t="s">
        <v>456</v>
      </c>
      <c r="B11" s="64" t="s">
        <v>451</v>
      </c>
      <c r="C11" s="64" t="s">
        <v>451</v>
      </c>
      <c r="D11" s="64" t="s">
        <v>451</v>
      </c>
      <c r="E11" s="64"/>
      <c r="F11" s="64" t="s">
        <v>451</v>
      </c>
    </row>
    <row r="12" customFormat="false" ht="15" hidden="false" customHeight="false" outlineLevel="0" collapsed="false">
      <c r="A12" s="63" t="s">
        <v>457</v>
      </c>
      <c r="B12" s="64" t="s">
        <v>451</v>
      </c>
      <c r="C12" s="64"/>
      <c r="D12" s="64" t="s">
        <v>451</v>
      </c>
      <c r="E12" s="64" t="s">
        <v>451</v>
      </c>
      <c r="F12" s="64" t="s">
        <v>451</v>
      </c>
    </row>
    <row r="13" customFormat="false" ht="15" hidden="false" customHeight="false" outlineLevel="0" collapsed="false">
      <c r="A13" s="63" t="s">
        <v>458</v>
      </c>
      <c r="B13" s="64" t="s">
        <v>451</v>
      </c>
      <c r="C13" s="64" t="s">
        <v>451</v>
      </c>
      <c r="D13" s="64" t="s">
        <v>451</v>
      </c>
      <c r="E13" s="64"/>
      <c r="F13" s="64" t="s">
        <v>451</v>
      </c>
    </row>
    <row r="14" customFormat="false" ht="15" hidden="false" customHeight="false" outlineLevel="0" collapsed="false">
      <c r="A14" s="63" t="s">
        <v>459</v>
      </c>
      <c r="B14" s="64" t="s">
        <v>451</v>
      </c>
      <c r="C14" s="64" t="s">
        <v>451</v>
      </c>
      <c r="D14" s="64" t="s">
        <v>451</v>
      </c>
      <c r="E14" s="64"/>
      <c r="F14" s="64" t="s">
        <v>451</v>
      </c>
    </row>
    <row r="15" customFormat="false" ht="15" hidden="false" customHeight="false" outlineLevel="0" collapsed="false">
      <c r="A15" s="63" t="s">
        <v>460</v>
      </c>
      <c r="B15" s="64" t="s">
        <v>451</v>
      </c>
      <c r="C15" s="64" t="s">
        <v>451</v>
      </c>
      <c r="D15" s="64" t="s">
        <v>451</v>
      </c>
      <c r="E15" s="64"/>
      <c r="F15" s="64" t="s">
        <v>451</v>
      </c>
    </row>
    <row r="16" customFormat="false" ht="15" hidden="false" customHeight="false" outlineLevel="0" collapsed="false">
      <c r="A16" s="63" t="s">
        <v>461</v>
      </c>
      <c r="B16" s="64" t="s">
        <v>451</v>
      </c>
      <c r="C16" s="64" t="s">
        <v>451</v>
      </c>
      <c r="D16" s="64" t="s">
        <v>451</v>
      </c>
      <c r="E16" s="64"/>
      <c r="F16" s="64" t="s">
        <v>451</v>
      </c>
    </row>
    <row r="17" customFormat="false" ht="15" hidden="false" customHeight="false" outlineLevel="0" collapsed="false">
      <c r="A17" s="63" t="s">
        <v>462</v>
      </c>
      <c r="B17" s="64"/>
      <c r="C17" s="64" t="s">
        <v>451</v>
      </c>
      <c r="D17" s="64" t="s">
        <v>451</v>
      </c>
      <c r="E17" s="64" t="s">
        <v>451</v>
      </c>
      <c r="F17" s="64"/>
    </row>
    <row r="18" customFormat="false" ht="15" hidden="false" customHeight="false" outlineLevel="0" collapsed="false">
      <c r="A18" s="63" t="s">
        <v>463</v>
      </c>
      <c r="B18" s="64" t="s">
        <v>451</v>
      </c>
      <c r="C18" s="64" t="s">
        <v>451</v>
      </c>
      <c r="D18" s="64" t="s">
        <v>451</v>
      </c>
      <c r="E18" s="64"/>
      <c r="F18" s="64"/>
    </row>
    <row r="19" customFormat="false" ht="15" hidden="false" customHeight="false" outlineLevel="0" collapsed="false">
      <c r="A19" s="63" t="s">
        <v>464</v>
      </c>
      <c r="B19" s="64" t="s">
        <v>451</v>
      </c>
      <c r="C19" s="64" t="s">
        <v>451</v>
      </c>
      <c r="D19" s="64" t="s">
        <v>451</v>
      </c>
      <c r="E19" s="64"/>
      <c r="F19" s="64"/>
    </row>
    <row r="20" customFormat="false" ht="15" hidden="false" customHeight="false" outlineLevel="0" collapsed="false">
      <c r="A20" s="63" t="s">
        <v>465</v>
      </c>
      <c r="B20" s="64" t="s">
        <v>451</v>
      </c>
      <c r="C20" s="64" t="s">
        <v>451</v>
      </c>
      <c r="D20" s="64" t="s">
        <v>451</v>
      </c>
      <c r="E20" s="64"/>
      <c r="F20" s="64"/>
    </row>
    <row r="22" customFormat="false" ht="15" hidden="false" customHeight="false" outlineLevel="0" collapsed="false">
      <c r="A22" s="33" t="s">
        <v>466</v>
      </c>
      <c r="B22" s="33"/>
      <c r="C22" s="33"/>
      <c r="D22" s="33"/>
      <c r="E22" s="33"/>
      <c r="F22" s="33"/>
    </row>
  </sheetData>
  <mergeCells count="2">
    <mergeCell ref="A1:F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11"/>
    <col collapsed="false" customWidth="true" hidden="false" outlineLevel="0" max="4" min="4" style="1" width="8"/>
    <col collapsed="false" customWidth="true" hidden="false" outlineLevel="0" max="5" min="5" style="1" width="44"/>
    <col collapsed="false" customWidth="true" hidden="false" outlineLevel="0" max="6" min="6" style="1" width="26"/>
    <col collapsed="false" customWidth="true" hidden="false" outlineLevel="0" max="7" min="7" style="1" width="30"/>
    <col collapsed="false" customWidth="true" hidden="false" outlineLevel="0" max="9" min="8" style="1" width="18"/>
    <col collapsed="false" customWidth="true" hidden="false" outlineLevel="0" max="10" min="10" style="1" width="20"/>
    <col collapsed="false" customWidth="true" hidden="false" outlineLevel="0" max="11" min="11" style="1" width="12"/>
    <col collapsed="false" customWidth="true" hidden="false" outlineLevel="0" max="12" min="12" style="1" width="26"/>
    <col collapsed="false" customWidth="true" hidden="false" outlineLevel="0" max="13" min="13" style="1" width="14"/>
    <col collapsed="false" customWidth="true" hidden="false" outlineLevel="0" max="14" min="14" style="1" width="10"/>
    <col collapsed="false" customWidth="true" hidden="false" outlineLevel="0" max="15" min="15" style="1" width="12"/>
  </cols>
  <sheetData>
    <row r="1" customFormat="false" ht="25.5" hidden="false" customHeight="true" outlineLevel="0" collapsed="false">
      <c r="A1" s="34" t="s">
        <v>467</v>
      </c>
      <c r="B1" s="34"/>
      <c r="C1" s="34"/>
      <c r="D1" s="34"/>
      <c r="E1" s="34"/>
      <c r="F1" s="34"/>
      <c r="G1" s="34"/>
      <c r="H1" s="34"/>
      <c r="I1" s="34"/>
      <c r="J1" s="34"/>
      <c r="K1" s="34"/>
      <c r="L1" s="34"/>
      <c r="M1" s="34"/>
      <c r="N1" s="34"/>
      <c r="O1" s="34"/>
    </row>
    <row r="2" customFormat="false" ht="31.5" hidden="false" customHeight="true" outlineLevel="0" collapsed="false">
      <c r="A2" s="61" t="s">
        <v>88</v>
      </c>
      <c r="B2" s="61" t="s">
        <v>111</v>
      </c>
      <c r="C2" s="61" t="s">
        <v>468</v>
      </c>
      <c r="D2" s="61" t="s">
        <v>469</v>
      </c>
      <c r="E2" s="61" t="s">
        <v>470</v>
      </c>
      <c r="F2" s="61" t="s">
        <v>471</v>
      </c>
      <c r="G2" s="61" t="s">
        <v>472</v>
      </c>
      <c r="H2" s="61" t="s">
        <v>473</v>
      </c>
      <c r="I2" s="61" t="s">
        <v>474</v>
      </c>
      <c r="J2" s="61" t="s">
        <v>475</v>
      </c>
      <c r="K2" s="61" t="s">
        <v>125</v>
      </c>
      <c r="L2" s="61" t="s">
        <v>91</v>
      </c>
      <c r="M2" s="61" t="s">
        <v>209</v>
      </c>
      <c r="N2" s="61" t="s">
        <v>476</v>
      </c>
      <c r="O2" s="61" t="s">
        <v>381</v>
      </c>
    </row>
    <row r="3" customFormat="false" ht="45.75" hidden="false" customHeight="true" outlineLevel="0" collapsed="false">
      <c r="A3" s="65" t="n">
        <v>1</v>
      </c>
      <c r="B3" s="65" t="s">
        <v>114</v>
      </c>
      <c r="C3" s="65" t="s">
        <v>477</v>
      </c>
      <c r="D3" s="65" t="s">
        <v>478</v>
      </c>
      <c r="E3" s="8" t="s">
        <v>479</v>
      </c>
      <c r="F3" s="8" t="s">
        <v>480</v>
      </c>
      <c r="G3" s="8" t="s">
        <v>481</v>
      </c>
      <c r="H3" s="8" t="s">
        <v>482</v>
      </c>
      <c r="I3" s="8" t="s">
        <v>483</v>
      </c>
      <c r="J3" s="8" t="s">
        <v>484</v>
      </c>
      <c r="K3" s="66" t="s">
        <v>128</v>
      </c>
      <c r="L3" s="8" t="s">
        <v>485</v>
      </c>
      <c r="M3" s="66" t="s">
        <v>486</v>
      </c>
      <c r="N3" s="66" t="s">
        <v>487</v>
      </c>
      <c r="O3" s="65" t="s">
        <v>488</v>
      </c>
    </row>
    <row r="4" customFormat="false" ht="45.75" hidden="false" customHeight="true" outlineLevel="0" collapsed="false">
      <c r="A4" s="65" t="n">
        <v>2</v>
      </c>
      <c r="B4" s="65" t="s">
        <v>114</v>
      </c>
      <c r="C4" s="65" t="s">
        <v>477</v>
      </c>
      <c r="D4" s="65" t="s">
        <v>489</v>
      </c>
      <c r="E4" s="8" t="s">
        <v>490</v>
      </c>
      <c r="F4" s="8" t="s">
        <v>491</v>
      </c>
      <c r="G4" s="8" t="s">
        <v>492</v>
      </c>
      <c r="H4" s="8" t="s">
        <v>493</v>
      </c>
      <c r="I4" s="8" t="s">
        <v>494</v>
      </c>
      <c r="J4" s="8" t="s">
        <v>495</v>
      </c>
      <c r="K4" s="66" t="s">
        <v>128</v>
      </c>
      <c r="L4" s="8" t="s">
        <v>496</v>
      </c>
      <c r="M4" s="66" t="s">
        <v>497</v>
      </c>
      <c r="N4" s="66" t="s">
        <v>498</v>
      </c>
      <c r="O4" s="65" t="s">
        <v>386</v>
      </c>
    </row>
    <row r="5" customFormat="false" ht="45.75" hidden="false" customHeight="true" outlineLevel="0" collapsed="false">
      <c r="A5" s="65" t="n">
        <v>3</v>
      </c>
      <c r="B5" s="65" t="s">
        <v>114</v>
      </c>
      <c r="C5" s="65" t="s">
        <v>477</v>
      </c>
      <c r="D5" s="65" t="s">
        <v>499</v>
      </c>
      <c r="E5" s="8" t="s">
        <v>500</v>
      </c>
      <c r="F5" s="8" t="s">
        <v>501</v>
      </c>
      <c r="G5" s="8" t="s">
        <v>492</v>
      </c>
      <c r="H5" s="8" t="s">
        <v>502</v>
      </c>
      <c r="I5" s="8" t="s">
        <v>503</v>
      </c>
      <c r="J5" s="8" t="s">
        <v>504</v>
      </c>
      <c r="K5" s="66" t="s">
        <v>129</v>
      </c>
      <c r="L5" s="8" t="s">
        <v>505</v>
      </c>
      <c r="M5" s="66" t="s">
        <v>506</v>
      </c>
      <c r="N5" s="66" t="s">
        <v>487</v>
      </c>
      <c r="O5" s="65" t="s">
        <v>507</v>
      </c>
    </row>
    <row r="6" customFormat="false" ht="45.75" hidden="false" customHeight="true" outlineLevel="0" collapsed="false">
      <c r="A6" s="65" t="n">
        <v>4</v>
      </c>
      <c r="B6" s="65" t="s">
        <v>114</v>
      </c>
      <c r="C6" s="65" t="s">
        <v>477</v>
      </c>
      <c r="D6" s="65" t="s">
        <v>508</v>
      </c>
      <c r="E6" s="8" t="s">
        <v>509</v>
      </c>
      <c r="F6" s="8" t="s">
        <v>510</v>
      </c>
      <c r="G6" s="8" t="s">
        <v>511</v>
      </c>
      <c r="H6" s="8" t="s">
        <v>512</v>
      </c>
      <c r="I6" s="8" t="s">
        <v>513</v>
      </c>
      <c r="J6" s="8" t="s">
        <v>514</v>
      </c>
      <c r="K6" s="66" t="s">
        <v>130</v>
      </c>
      <c r="L6" s="8" t="s">
        <v>515</v>
      </c>
      <c r="M6" s="66" t="s">
        <v>486</v>
      </c>
      <c r="N6" s="66" t="s">
        <v>516</v>
      </c>
      <c r="O6" s="65" t="s">
        <v>386</v>
      </c>
    </row>
    <row r="7" customFormat="false" ht="34.5" hidden="false" customHeight="true" outlineLevel="0" collapsed="false">
      <c r="A7" s="65" t="n">
        <v>5</v>
      </c>
      <c r="B7" s="65" t="s">
        <v>114</v>
      </c>
      <c r="C7" s="65" t="s">
        <v>477</v>
      </c>
      <c r="D7" s="65" t="s">
        <v>517</v>
      </c>
      <c r="E7" s="8" t="s">
        <v>518</v>
      </c>
      <c r="F7" s="8" t="s">
        <v>519</v>
      </c>
      <c r="G7" s="8" t="s">
        <v>520</v>
      </c>
      <c r="H7" s="8" t="s">
        <v>521</v>
      </c>
      <c r="I7" s="8" t="s">
        <v>522</v>
      </c>
      <c r="J7" s="8" t="s">
        <v>523</v>
      </c>
      <c r="K7" s="66" t="s">
        <v>129</v>
      </c>
      <c r="L7" s="8" t="s">
        <v>524</v>
      </c>
      <c r="M7" s="66" t="s">
        <v>277</v>
      </c>
      <c r="N7" s="66" t="s">
        <v>516</v>
      </c>
      <c r="O7" s="65" t="s">
        <v>386</v>
      </c>
    </row>
    <row r="8" customFormat="false" ht="45.75" hidden="false" customHeight="true" outlineLevel="0" collapsed="false">
      <c r="A8" s="65" t="n">
        <v>6</v>
      </c>
      <c r="B8" s="65" t="s">
        <v>114</v>
      </c>
      <c r="C8" s="65" t="s">
        <v>477</v>
      </c>
      <c r="D8" s="65" t="s">
        <v>525</v>
      </c>
      <c r="E8" s="8" t="s">
        <v>526</v>
      </c>
      <c r="F8" s="8" t="s">
        <v>527</v>
      </c>
      <c r="G8" s="8" t="s">
        <v>528</v>
      </c>
      <c r="H8" s="8" t="s">
        <v>529</v>
      </c>
      <c r="I8" s="8" t="s">
        <v>530</v>
      </c>
      <c r="J8" s="8" t="s">
        <v>531</v>
      </c>
      <c r="K8" s="66" t="s">
        <v>127</v>
      </c>
      <c r="L8" s="8" t="s">
        <v>532</v>
      </c>
      <c r="M8" s="66" t="s">
        <v>506</v>
      </c>
      <c r="N8" s="66" t="s">
        <v>498</v>
      </c>
      <c r="O8" s="65" t="s">
        <v>488</v>
      </c>
    </row>
    <row r="9" customFormat="false" ht="34.5" hidden="false" customHeight="true" outlineLevel="0" collapsed="false">
      <c r="A9" s="65" t="n">
        <v>7</v>
      </c>
      <c r="B9" s="65" t="s">
        <v>114</v>
      </c>
      <c r="C9" s="65" t="s">
        <v>477</v>
      </c>
      <c r="D9" s="65" t="s">
        <v>533</v>
      </c>
      <c r="E9" s="8" t="s">
        <v>534</v>
      </c>
      <c r="F9" s="8" t="s">
        <v>535</v>
      </c>
      <c r="G9" s="8" t="s">
        <v>536</v>
      </c>
      <c r="H9" s="8"/>
      <c r="I9" s="8"/>
      <c r="J9" s="8"/>
      <c r="K9" s="66"/>
      <c r="L9" s="8"/>
      <c r="M9" s="66"/>
      <c r="N9" s="66"/>
      <c r="O9" s="65" t="s">
        <v>386</v>
      </c>
    </row>
    <row r="10" customFormat="false" ht="34.5" hidden="false" customHeight="true" outlineLevel="0" collapsed="false">
      <c r="A10" s="65" t="n">
        <v>8</v>
      </c>
      <c r="B10" s="65" t="s">
        <v>114</v>
      </c>
      <c r="C10" s="65" t="s">
        <v>477</v>
      </c>
      <c r="D10" s="65" t="s">
        <v>537</v>
      </c>
      <c r="E10" s="8" t="s">
        <v>538</v>
      </c>
      <c r="F10" s="8" t="s">
        <v>539</v>
      </c>
      <c r="G10" s="8" t="s">
        <v>540</v>
      </c>
      <c r="H10" s="8"/>
      <c r="I10" s="8"/>
      <c r="J10" s="8"/>
      <c r="K10" s="66"/>
      <c r="L10" s="8"/>
      <c r="M10" s="66"/>
      <c r="N10" s="66"/>
      <c r="O10" s="65" t="s">
        <v>386</v>
      </c>
    </row>
    <row r="11" customFormat="false" ht="23.25" hidden="false" customHeight="true" outlineLevel="0" collapsed="false">
      <c r="A11" s="65" t="n">
        <v>9</v>
      </c>
      <c r="B11" s="65" t="s">
        <v>114</v>
      </c>
      <c r="C11" s="65" t="s">
        <v>477</v>
      </c>
      <c r="D11" s="65" t="s">
        <v>541</v>
      </c>
      <c r="E11" s="8" t="s">
        <v>542</v>
      </c>
      <c r="F11" s="8" t="s">
        <v>543</v>
      </c>
      <c r="G11" s="8" t="s">
        <v>544</v>
      </c>
      <c r="H11" s="8"/>
      <c r="I11" s="8"/>
      <c r="J11" s="8"/>
      <c r="K11" s="66"/>
      <c r="L11" s="8"/>
      <c r="M11" s="66"/>
      <c r="N11" s="66"/>
      <c r="O11" s="65" t="s">
        <v>386</v>
      </c>
    </row>
    <row r="12" customFormat="false" ht="34.5" hidden="false" customHeight="true" outlineLevel="0" collapsed="false">
      <c r="A12" s="65" t="n">
        <v>10</v>
      </c>
      <c r="B12" s="65" t="s">
        <v>114</v>
      </c>
      <c r="C12" s="65" t="s">
        <v>477</v>
      </c>
      <c r="D12" s="65" t="s">
        <v>545</v>
      </c>
      <c r="E12" s="8" t="s">
        <v>546</v>
      </c>
      <c r="F12" s="8" t="s">
        <v>547</v>
      </c>
      <c r="G12" s="8" t="s">
        <v>548</v>
      </c>
      <c r="H12" s="8"/>
      <c r="I12" s="8"/>
      <c r="J12" s="8"/>
      <c r="K12" s="66"/>
      <c r="L12" s="8"/>
      <c r="M12" s="66"/>
      <c r="N12" s="66"/>
      <c r="O12" s="65" t="s">
        <v>386</v>
      </c>
    </row>
    <row r="13" customFormat="false" ht="34.5" hidden="false" customHeight="true" outlineLevel="0" collapsed="false">
      <c r="A13" s="65" t="n">
        <v>11</v>
      </c>
      <c r="B13" s="65" t="s">
        <v>114</v>
      </c>
      <c r="C13" s="65" t="s">
        <v>477</v>
      </c>
      <c r="D13" s="65" t="s">
        <v>549</v>
      </c>
      <c r="E13" s="8" t="s">
        <v>550</v>
      </c>
      <c r="F13" s="8" t="s">
        <v>551</v>
      </c>
      <c r="G13" s="8" t="s">
        <v>552</v>
      </c>
      <c r="H13" s="8"/>
      <c r="I13" s="8"/>
      <c r="J13" s="8"/>
      <c r="K13" s="66"/>
      <c r="L13" s="8"/>
      <c r="M13" s="66"/>
      <c r="N13" s="66"/>
      <c r="O13" s="65" t="s">
        <v>386</v>
      </c>
    </row>
    <row r="14" customFormat="false" ht="34.5" hidden="false" customHeight="true" outlineLevel="0" collapsed="false">
      <c r="A14" s="65" t="n">
        <v>12</v>
      </c>
      <c r="B14" s="65" t="s">
        <v>114</v>
      </c>
      <c r="C14" s="65" t="s">
        <v>477</v>
      </c>
      <c r="D14" s="65" t="s">
        <v>553</v>
      </c>
      <c r="E14" s="8" t="s">
        <v>554</v>
      </c>
      <c r="F14" s="8" t="s">
        <v>555</v>
      </c>
      <c r="G14" s="8" t="s">
        <v>556</v>
      </c>
      <c r="H14" s="8"/>
      <c r="I14" s="8"/>
      <c r="J14" s="8"/>
      <c r="K14" s="66"/>
      <c r="L14" s="8"/>
      <c r="M14" s="66"/>
      <c r="N14" s="66"/>
      <c r="O14" s="65" t="s">
        <v>386</v>
      </c>
    </row>
    <row r="15" customFormat="false" ht="34.5" hidden="false" customHeight="true" outlineLevel="0" collapsed="false">
      <c r="A15" s="65" t="n">
        <v>13</v>
      </c>
      <c r="B15" s="65" t="s">
        <v>114</v>
      </c>
      <c r="C15" s="65" t="s">
        <v>477</v>
      </c>
      <c r="D15" s="65" t="s">
        <v>557</v>
      </c>
      <c r="E15" s="8" t="s">
        <v>558</v>
      </c>
      <c r="F15" s="8" t="s">
        <v>547</v>
      </c>
      <c r="G15" s="8" t="s">
        <v>548</v>
      </c>
      <c r="H15" s="8"/>
      <c r="I15" s="8"/>
      <c r="J15" s="8"/>
      <c r="K15" s="66"/>
      <c r="L15" s="8"/>
      <c r="M15" s="66"/>
      <c r="N15" s="66"/>
      <c r="O15" s="65" t="s">
        <v>386</v>
      </c>
    </row>
    <row r="16" customFormat="false" ht="34.5" hidden="false" customHeight="true" outlineLevel="0" collapsed="false">
      <c r="A16" s="65" t="n">
        <v>14</v>
      </c>
      <c r="B16" s="65" t="s">
        <v>114</v>
      </c>
      <c r="C16" s="65" t="s">
        <v>477</v>
      </c>
      <c r="D16" s="65" t="s">
        <v>559</v>
      </c>
      <c r="E16" s="8" t="s">
        <v>560</v>
      </c>
      <c r="F16" s="8" t="s">
        <v>561</v>
      </c>
      <c r="G16" s="8" t="s">
        <v>562</v>
      </c>
      <c r="H16" s="8"/>
      <c r="I16" s="8"/>
      <c r="J16" s="8"/>
      <c r="K16" s="66"/>
      <c r="L16" s="8"/>
      <c r="M16" s="66"/>
      <c r="N16" s="66"/>
      <c r="O16" s="65" t="s">
        <v>386</v>
      </c>
    </row>
    <row r="17" customFormat="false" ht="34.5" hidden="false" customHeight="true" outlineLevel="0" collapsed="false">
      <c r="A17" s="65" t="n">
        <v>15</v>
      </c>
      <c r="B17" s="65" t="s">
        <v>114</v>
      </c>
      <c r="C17" s="65" t="s">
        <v>477</v>
      </c>
      <c r="D17" s="65" t="s">
        <v>563</v>
      </c>
      <c r="E17" s="8" t="s">
        <v>564</v>
      </c>
      <c r="F17" s="8" t="s">
        <v>547</v>
      </c>
      <c r="G17" s="8" t="s">
        <v>565</v>
      </c>
      <c r="H17" s="8"/>
      <c r="I17" s="8"/>
      <c r="J17" s="8"/>
      <c r="K17" s="66"/>
      <c r="L17" s="8"/>
      <c r="M17" s="66"/>
      <c r="N17" s="66"/>
      <c r="O17" s="65" t="s">
        <v>386</v>
      </c>
    </row>
    <row r="18" customFormat="false" ht="34.5" hidden="false" customHeight="true" outlineLevel="0" collapsed="false">
      <c r="A18" s="65" t="n">
        <v>16</v>
      </c>
      <c r="B18" s="65" t="s">
        <v>114</v>
      </c>
      <c r="C18" s="65" t="s">
        <v>477</v>
      </c>
      <c r="D18" s="65" t="s">
        <v>566</v>
      </c>
      <c r="E18" s="8" t="s">
        <v>567</v>
      </c>
      <c r="F18" s="8" t="s">
        <v>568</v>
      </c>
      <c r="G18" s="8" t="s">
        <v>569</v>
      </c>
      <c r="H18" s="8"/>
      <c r="I18" s="8"/>
      <c r="J18" s="8"/>
      <c r="K18" s="66"/>
      <c r="L18" s="8"/>
      <c r="M18" s="66"/>
      <c r="N18" s="66"/>
      <c r="O18" s="65" t="s">
        <v>386</v>
      </c>
    </row>
    <row r="19" customFormat="false" ht="34.5" hidden="false" customHeight="true" outlineLevel="0" collapsed="false">
      <c r="A19" s="65" t="n">
        <v>17</v>
      </c>
      <c r="B19" s="65" t="s">
        <v>114</v>
      </c>
      <c r="C19" s="65" t="s">
        <v>477</v>
      </c>
      <c r="D19" s="65" t="s">
        <v>570</v>
      </c>
      <c r="E19" s="8" t="s">
        <v>571</v>
      </c>
      <c r="F19" s="8" t="s">
        <v>572</v>
      </c>
      <c r="G19" s="8" t="s">
        <v>573</v>
      </c>
      <c r="H19" s="8"/>
      <c r="I19" s="8"/>
      <c r="J19" s="8"/>
      <c r="K19" s="66"/>
      <c r="L19" s="8"/>
      <c r="M19" s="66"/>
      <c r="N19" s="66"/>
      <c r="O19" s="65" t="s">
        <v>386</v>
      </c>
    </row>
    <row r="20" customFormat="false" ht="23.25" hidden="false" customHeight="true" outlineLevel="0" collapsed="false">
      <c r="A20" s="65" t="n">
        <v>18</v>
      </c>
      <c r="B20" s="65" t="s">
        <v>114</v>
      </c>
      <c r="C20" s="65" t="s">
        <v>477</v>
      </c>
      <c r="D20" s="65" t="s">
        <v>574</v>
      </c>
      <c r="E20" s="8" t="s">
        <v>575</v>
      </c>
      <c r="F20" s="8" t="s">
        <v>576</v>
      </c>
      <c r="G20" s="8" t="s">
        <v>577</v>
      </c>
      <c r="H20" s="8"/>
      <c r="I20" s="8"/>
      <c r="J20" s="8"/>
      <c r="K20" s="66"/>
      <c r="L20" s="8"/>
      <c r="M20" s="66"/>
      <c r="N20" s="66"/>
      <c r="O20" s="65" t="s">
        <v>386</v>
      </c>
    </row>
    <row r="21" customFormat="false" ht="34.5" hidden="false" customHeight="true" outlineLevel="0" collapsed="false">
      <c r="A21" s="65" t="n">
        <v>19</v>
      </c>
      <c r="B21" s="65" t="s">
        <v>114</v>
      </c>
      <c r="C21" s="65" t="s">
        <v>477</v>
      </c>
      <c r="D21" s="65" t="s">
        <v>578</v>
      </c>
      <c r="E21" s="8" t="s">
        <v>579</v>
      </c>
      <c r="F21" s="8" t="s">
        <v>580</v>
      </c>
      <c r="G21" s="8" t="s">
        <v>581</v>
      </c>
      <c r="H21" s="8"/>
      <c r="I21" s="8"/>
      <c r="J21" s="8"/>
      <c r="K21" s="66"/>
      <c r="L21" s="8"/>
      <c r="M21" s="66"/>
      <c r="N21" s="66"/>
      <c r="O21" s="65" t="s">
        <v>386</v>
      </c>
    </row>
    <row r="22" customFormat="false" ht="34.5" hidden="false" customHeight="true" outlineLevel="0" collapsed="false">
      <c r="A22" s="67" t="n">
        <v>20</v>
      </c>
      <c r="B22" s="67" t="s">
        <v>115</v>
      </c>
      <c r="C22" s="67" t="s">
        <v>582</v>
      </c>
      <c r="D22" s="67" t="s">
        <v>478</v>
      </c>
      <c r="E22" s="8" t="s">
        <v>583</v>
      </c>
      <c r="F22" s="8" t="s">
        <v>584</v>
      </c>
      <c r="G22" s="8" t="s">
        <v>585</v>
      </c>
      <c r="H22" s="8"/>
      <c r="I22" s="8"/>
      <c r="J22" s="8"/>
      <c r="K22" s="66"/>
      <c r="L22" s="8"/>
      <c r="M22" s="66"/>
      <c r="N22" s="66"/>
      <c r="O22" s="67" t="s">
        <v>386</v>
      </c>
    </row>
    <row r="23" customFormat="false" ht="34.5" hidden="false" customHeight="true" outlineLevel="0" collapsed="false">
      <c r="A23" s="67" t="n">
        <v>21</v>
      </c>
      <c r="B23" s="67" t="s">
        <v>115</v>
      </c>
      <c r="C23" s="67" t="s">
        <v>582</v>
      </c>
      <c r="D23" s="67" t="s">
        <v>489</v>
      </c>
      <c r="E23" s="8" t="s">
        <v>586</v>
      </c>
      <c r="F23" s="8" t="s">
        <v>587</v>
      </c>
      <c r="G23" s="8" t="s">
        <v>492</v>
      </c>
      <c r="H23" s="8"/>
      <c r="I23" s="8"/>
      <c r="J23" s="8"/>
      <c r="K23" s="66"/>
      <c r="L23" s="8"/>
      <c r="M23" s="66"/>
      <c r="N23" s="66"/>
      <c r="O23" s="67" t="s">
        <v>386</v>
      </c>
    </row>
    <row r="24" customFormat="false" ht="34.5" hidden="false" customHeight="true" outlineLevel="0" collapsed="false">
      <c r="A24" s="67" t="n">
        <v>22</v>
      </c>
      <c r="B24" s="67" t="s">
        <v>115</v>
      </c>
      <c r="C24" s="67" t="s">
        <v>582</v>
      </c>
      <c r="D24" s="67" t="s">
        <v>499</v>
      </c>
      <c r="E24" s="8" t="s">
        <v>588</v>
      </c>
      <c r="F24" s="8" t="s">
        <v>589</v>
      </c>
      <c r="G24" s="8" t="s">
        <v>590</v>
      </c>
      <c r="H24" s="8"/>
      <c r="I24" s="8"/>
      <c r="J24" s="8"/>
      <c r="K24" s="66"/>
      <c r="L24" s="8"/>
      <c r="M24" s="66"/>
      <c r="N24" s="66"/>
      <c r="O24" s="67" t="s">
        <v>386</v>
      </c>
    </row>
    <row r="25" customFormat="false" ht="34.5" hidden="false" customHeight="true" outlineLevel="0" collapsed="false">
      <c r="A25" s="67" t="n">
        <v>23</v>
      </c>
      <c r="B25" s="67" t="s">
        <v>115</v>
      </c>
      <c r="C25" s="67" t="s">
        <v>582</v>
      </c>
      <c r="D25" s="67" t="s">
        <v>508</v>
      </c>
      <c r="E25" s="8" t="s">
        <v>591</v>
      </c>
      <c r="F25" s="8" t="s">
        <v>592</v>
      </c>
      <c r="G25" s="8" t="s">
        <v>565</v>
      </c>
      <c r="H25" s="8"/>
      <c r="I25" s="8"/>
      <c r="J25" s="8"/>
      <c r="K25" s="66"/>
      <c r="L25" s="8"/>
      <c r="M25" s="66"/>
      <c r="N25" s="66"/>
      <c r="O25" s="67" t="s">
        <v>386</v>
      </c>
    </row>
    <row r="26" customFormat="false" ht="23.25" hidden="false" customHeight="true" outlineLevel="0" collapsed="false">
      <c r="A26" s="67" t="n">
        <v>24</v>
      </c>
      <c r="B26" s="67" t="s">
        <v>115</v>
      </c>
      <c r="C26" s="67" t="s">
        <v>582</v>
      </c>
      <c r="D26" s="67" t="s">
        <v>517</v>
      </c>
      <c r="E26" s="8" t="s">
        <v>593</v>
      </c>
      <c r="F26" s="8" t="s">
        <v>589</v>
      </c>
      <c r="G26" s="8" t="s">
        <v>594</v>
      </c>
      <c r="H26" s="8"/>
      <c r="I26" s="8"/>
      <c r="J26" s="8"/>
      <c r="K26" s="66"/>
      <c r="L26" s="8"/>
      <c r="M26" s="66"/>
      <c r="N26" s="66"/>
      <c r="O26" s="67" t="s">
        <v>386</v>
      </c>
    </row>
    <row r="27" customFormat="false" ht="34.5" hidden="false" customHeight="true" outlineLevel="0" collapsed="false">
      <c r="A27" s="67" t="n">
        <v>25</v>
      </c>
      <c r="B27" s="67" t="s">
        <v>115</v>
      </c>
      <c r="C27" s="67" t="s">
        <v>582</v>
      </c>
      <c r="D27" s="67" t="s">
        <v>525</v>
      </c>
      <c r="E27" s="8" t="s">
        <v>595</v>
      </c>
      <c r="F27" s="8" t="s">
        <v>596</v>
      </c>
      <c r="G27" s="8" t="s">
        <v>597</v>
      </c>
      <c r="H27" s="8"/>
      <c r="I27" s="8"/>
      <c r="J27" s="8"/>
      <c r="K27" s="66"/>
      <c r="L27" s="8"/>
      <c r="M27" s="66"/>
      <c r="N27" s="66"/>
      <c r="O27" s="67" t="s">
        <v>386</v>
      </c>
    </row>
    <row r="28" customFormat="false" ht="34.5" hidden="false" customHeight="true" outlineLevel="0" collapsed="false">
      <c r="A28" s="67" t="n">
        <v>26</v>
      </c>
      <c r="B28" s="67" t="s">
        <v>115</v>
      </c>
      <c r="C28" s="67" t="s">
        <v>582</v>
      </c>
      <c r="D28" s="67" t="s">
        <v>537</v>
      </c>
      <c r="E28" s="8" t="s">
        <v>598</v>
      </c>
      <c r="F28" s="8" t="s">
        <v>599</v>
      </c>
      <c r="G28" s="8" t="s">
        <v>528</v>
      </c>
      <c r="H28" s="8"/>
      <c r="I28" s="8"/>
      <c r="J28" s="8"/>
      <c r="K28" s="66"/>
      <c r="L28" s="8"/>
      <c r="M28" s="66"/>
      <c r="N28" s="66"/>
      <c r="O28" s="67" t="s">
        <v>386</v>
      </c>
    </row>
    <row r="29" customFormat="false" ht="34.5" hidden="false" customHeight="true" outlineLevel="0" collapsed="false">
      <c r="A29" s="67" t="n">
        <v>27</v>
      </c>
      <c r="B29" s="67" t="s">
        <v>115</v>
      </c>
      <c r="C29" s="67" t="s">
        <v>582</v>
      </c>
      <c r="D29" s="67" t="s">
        <v>541</v>
      </c>
      <c r="E29" s="8" t="s">
        <v>600</v>
      </c>
      <c r="F29" s="8" t="s">
        <v>601</v>
      </c>
      <c r="G29" s="8" t="s">
        <v>602</v>
      </c>
      <c r="H29" s="8"/>
      <c r="I29" s="8"/>
      <c r="J29" s="8"/>
      <c r="K29" s="66"/>
      <c r="L29" s="8"/>
      <c r="M29" s="66"/>
      <c r="N29" s="66"/>
      <c r="O29" s="67" t="s">
        <v>386</v>
      </c>
    </row>
    <row r="30" customFormat="false" ht="34.5" hidden="false" customHeight="true" outlineLevel="0" collapsed="false">
      <c r="A30" s="67" t="n">
        <v>28</v>
      </c>
      <c r="B30" s="67" t="s">
        <v>115</v>
      </c>
      <c r="C30" s="67" t="s">
        <v>582</v>
      </c>
      <c r="D30" s="67" t="s">
        <v>545</v>
      </c>
      <c r="E30" s="8" t="s">
        <v>603</v>
      </c>
      <c r="F30" s="8" t="s">
        <v>604</v>
      </c>
      <c r="G30" s="8" t="s">
        <v>605</v>
      </c>
      <c r="H30" s="8"/>
      <c r="I30" s="8"/>
      <c r="J30" s="8"/>
      <c r="K30" s="66"/>
      <c r="L30" s="8"/>
      <c r="M30" s="66"/>
      <c r="N30" s="66"/>
      <c r="O30" s="67" t="s">
        <v>386</v>
      </c>
    </row>
    <row r="31" customFormat="false" ht="23.25" hidden="false" customHeight="true" outlineLevel="0" collapsed="false">
      <c r="A31" s="67" t="n">
        <v>29</v>
      </c>
      <c r="B31" s="67" t="s">
        <v>115</v>
      </c>
      <c r="C31" s="67" t="s">
        <v>582</v>
      </c>
      <c r="D31" s="67" t="s">
        <v>549</v>
      </c>
      <c r="E31" s="8" t="s">
        <v>606</v>
      </c>
      <c r="F31" s="8" t="s">
        <v>592</v>
      </c>
      <c r="G31" s="8" t="s">
        <v>565</v>
      </c>
      <c r="H31" s="8"/>
      <c r="I31" s="8"/>
      <c r="J31" s="8"/>
      <c r="K31" s="66"/>
      <c r="L31" s="8"/>
      <c r="M31" s="66"/>
      <c r="N31" s="66"/>
      <c r="O31" s="67" t="s">
        <v>386</v>
      </c>
    </row>
    <row r="32" customFormat="false" ht="34.5" hidden="false" customHeight="true" outlineLevel="0" collapsed="false">
      <c r="A32" s="67" t="n">
        <v>30</v>
      </c>
      <c r="B32" s="67" t="s">
        <v>115</v>
      </c>
      <c r="C32" s="67" t="s">
        <v>582</v>
      </c>
      <c r="D32" s="67" t="s">
        <v>553</v>
      </c>
      <c r="E32" s="8" t="s">
        <v>607</v>
      </c>
      <c r="F32" s="8" t="s">
        <v>596</v>
      </c>
      <c r="G32" s="8" t="s">
        <v>608</v>
      </c>
      <c r="H32" s="8"/>
      <c r="I32" s="8"/>
      <c r="J32" s="8"/>
      <c r="K32" s="66"/>
      <c r="L32" s="8"/>
      <c r="M32" s="66"/>
      <c r="N32" s="66"/>
      <c r="O32" s="67" t="s">
        <v>386</v>
      </c>
    </row>
    <row r="33" customFormat="false" ht="23.25" hidden="false" customHeight="true" outlineLevel="0" collapsed="false">
      <c r="A33" s="67" t="n">
        <v>31</v>
      </c>
      <c r="B33" s="67" t="s">
        <v>115</v>
      </c>
      <c r="C33" s="67" t="s">
        <v>582</v>
      </c>
      <c r="D33" s="67" t="s">
        <v>609</v>
      </c>
      <c r="E33" s="8" t="s">
        <v>610</v>
      </c>
      <c r="F33" s="8" t="s">
        <v>604</v>
      </c>
      <c r="G33" s="8" t="s">
        <v>611</v>
      </c>
      <c r="H33" s="8"/>
      <c r="I33" s="8"/>
      <c r="J33" s="8"/>
      <c r="K33" s="66"/>
      <c r="L33" s="8"/>
      <c r="M33" s="66"/>
      <c r="N33" s="66"/>
      <c r="O33" s="67" t="s">
        <v>386</v>
      </c>
    </row>
    <row r="34" customFormat="false" ht="23.25" hidden="false" customHeight="true" outlineLevel="0" collapsed="false">
      <c r="A34" s="67" t="n">
        <v>32</v>
      </c>
      <c r="B34" s="67" t="s">
        <v>115</v>
      </c>
      <c r="C34" s="67" t="s">
        <v>582</v>
      </c>
      <c r="D34" s="67" t="s">
        <v>612</v>
      </c>
      <c r="E34" s="8" t="s">
        <v>613</v>
      </c>
      <c r="F34" s="8" t="s">
        <v>614</v>
      </c>
      <c r="G34" s="8" t="s">
        <v>615</v>
      </c>
      <c r="H34" s="8"/>
      <c r="I34" s="8"/>
      <c r="J34" s="8"/>
      <c r="K34" s="66"/>
      <c r="L34" s="8"/>
      <c r="M34" s="66"/>
      <c r="N34" s="66"/>
      <c r="O34" s="67" t="s">
        <v>386</v>
      </c>
    </row>
    <row r="35" customFormat="false" ht="34.5" hidden="false" customHeight="true" outlineLevel="0" collapsed="false">
      <c r="A35" s="67" t="n">
        <v>33</v>
      </c>
      <c r="B35" s="67" t="s">
        <v>115</v>
      </c>
      <c r="C35" s="67" t="s">
        <v>582</v>
      </c>
      <c r="D35" s="67" t="s">
        <v>616</v>
      </c>
      <c r="E35" s="8" t="s">
        <v>617</v>
      </c>
      <c r="F35" s="8" t="s">
        <v>555</v>
      </c>
      <c r="G35" s="8" t="s">
        <v>556</v>
      </c>
      <c r="H35" s="8"/>
      <c r="I35" s="8"/>
      <c r="J35" s="8"/>
      <c r="K35" s="66"/>
      <c r="L35" s="8"/>
      <c r="M35" s="66"/>
      <c r="N35" s="66"/>
      <c r="O35" s="67" t="s">
        <v>386</v>
      </c>
    </row>
    <row r="36" customFormat="false" ht="23.25" hidden="false" customHeight="true" outlineLevel="0" collapsed="false">
      <c r="A36" s="67" t="n">
        <v>34</v>
      </c>
      <c r="B36" s="67" t="s">
        <v>115</v>
      </c>
      <c r="C36" s="67" t="s">
        <v>582</v>
      </c>
      <c r="D36" s="67" t="s">
        <v>557</v>
      </c>
      <c r="E36" s="8" t="s">
        <v>618</v>
      </c>
      <c r="F36" s="8" t="s">
        <v>619</v>
      </c>
      <c r="G36" s="8" t="s">
        <v>581</v>
      </c>
      <c r="H36" s="8"/>
      <c r="I36" s="8"/>
      <c r="J36" s="8"/>
      <c r="K36" s="66"/>
      <c r="L36" s="8"/>
      <c r="M36" s="66"/>
      <c r="N36" s="66"/>
      <c r="O36" s="67" t="s">
        <v>386</v>
      </c>
    </row>
    <row r="37" customFormat="false" ht="23.25" hidden="false" customHeight="true" outlineLevel="0" collapsed="false">
      <c r="A37" s="67" t="n">
        <v>35</v>
      </c>
      <c r="B37" s="67" t="s">
        <v>115</v>
      </c>
      <c r="C37" s="67" t="s">
        <v>582</v>
      </c>
      <c r="D37" s="67" t="s">
        <v>559</v>
      </c>
      <c r="E37" s="8" t="s">
        <v>620</v>
      </c>
      <c r="F37" s="8" t="s">
        <v>621</v>
      </c>
      <c r="G37" s="8" t="s">
        <v>581</v>
      </c>
      <c r="H37" s="8"/>
      <c r="I37" s="8"/>
      <c r="J37" s="8"/>
      <c r="K37" s="66"/>
      <c r="L37" s="8"/>
      <c r="M37" s="66"/>
      <c r="N37" s="66"/>
      <c r="O37" s="67" t="s">
        <v>386</v>
      </c>
    </row>
    <row r="38" customFormat="false" ht="34.5" hidden="false" customHeight="true" outlineLevel="0" collapsed="false">
      <c r="A38" s="67" t="n">
        <v>36</v>
      </c>
      <c r="B38" s="67" t="s">
        <v>115</v>
      </c>
      <c r="C38" s="67" t="s">
        <v>582</v>
      </c>
      <c r="D38" s="67" t="s">
        <v>566</v>
      </c>
      <c r="E38" s="8" t="s">
        <v>622</v>
      </c>
      <c r="F38" s="8" t="s">
        <v>596</v>
      </c>
      <c r="G38" s="8" t="s">
        <v>608</v>
      </c>
      <c r="H38" s="8"/>
      <c r="I38" s="8"/>
      <c r="J38" s="8"/>
      <c r="K38" s="66"/>
      <c r="L38" s="8"/>
      <c r="M38" s="66"/>
      <c r="N38" s="66"/>
      <c r="O38" s="67" t="s">
        <v>386</v>
      </c>
    </row>
    <row r="39" customFormat="false" ht="34.5" hidden="false" customHeight="true" outlineLevel="0" collapsed="false">
      <c r="A39" s="67" t="n">
        <v>37</v>
      </c>
      <c r="B39" s="67" t="s">
        <v>115</v>
      </c>
      <c r="C39" s="67" t="s">
        <v>582</v>
      </c>
      <c r="D39" s="67" t="s">
        <v>570</v>
      </c>
      <c r="E39" s="8" t="s">
        <v>623</v>
      </c>
      <c r="F39" s="8" t="s">
        <v>624</v>
      </c>
      <c r="G39" s="8" t="s">
        <v>492</v>
      </c>
      <c r="H39" s="8"/>
      <c r="I39" s="8"/>
      <c r="J39" s="8"/>
      <c r="K39" s="66"/>
      <c r="L39" s="8"/>
      <c r="M39" s="66"/>
      <c r="N39" s="66"/>
      <c r="O39" s="67" t="s">
        <v>386</v>
      </c>
    </row>
    <row r="40" customFormat="false" ht="34.5" hidden="false" customHeight="true" outlineLevel="0" collapsed="false">
      <c r="A40" s="68" t="n">
        <v>38</v>
      </c>
      <c r="B40" s="68" t="s">
        <v>116</v>
      </c>
      <c r="C40" s="68" t="s">
        <v>625</v>
      </c>
      <c r="D40" s="68" t="s">
        <v>478</v>
      </c>
      <c r="E40" s="8" t="s">
        <v>626</v>
      </c>
      <c r="F40" s="8" t="s">
        <v>601</v>
      </c>
      <c r="G40" s="8" t="s">
        <v>627</v>
      </c>
      <c r="H40" s="8"/>
      <c r="I40" s="8"/>
      <c r="J40" s="8"/>
      <c r="K40" s="66"/>
      <c r="L40" s="8"/>
      <c r="M40" s="66"/>
      <c r="N40" s="66"/>
      <c r="O40" s="68" t="s">
        <v>386</v>
      </c>
    </row>
    <row r="41" customFormat="false" ht="23.25" hidden="false" customHeight="true" outlineLevel="0" collapsed="false">
      <c r="A41" s="68" t="n">
        <v>39</v>
      </c>
      <c r="B41" s="68" t="s">
        <v>116</v>
      </c>
      <c r="C41" s="68" t="s">
        <v>625</v>
      </c>
      <c r="D41" s="68" t="s">
        <v>489</v>
      </c>
      <c r="E41" s="8" t="s">
        <v>628</v>
      </c>
      <c r="F41" s="8" t="s">
        <v>629</v>
      </c>
      <c r="G41" s="8" t="s">
        <v>630</v>
      </c>
      <c r="H41" s="8"/>
      <c r="I41" s="8"/>
      <c r="J41" s="8"/>
      <c r="K41" s="66"/>
      <c r="L41" s="8"/>
      <c r="M41" s="66"/>
      <c r="N41" s="66"/>
      <c r="O41" s="68" t="s">
        <v>386</v>
      </c>
    </row>
    <row r="42" customFormat="false" ht="34.5" hidden="false" customHeight="true" outlineLevel="0" collapsed="false">
      <c r="A42" s="68" t="n">
        <v>40</v>
      </c>
      <c r="B42" s="68" t="s">
        <v>116</v>
      </c>
      <c r="C42" s="68" t="s">
        <v>625</v>
      </c>
      <c r="D42" s="68" t="s">
        <v>499</v>
      </c>
      <c r="E42" s="8" t="s">
        <v>631</v>
      </c>
      <c r="F42" s="8" t="s">
        <v>632</v>
      </c>
      <c r="G42" s="8" t="s">
        <v>565</v>
      </c>
      <c r="H42" s="8"/>
      <c r="I42" s="8"/>
      <c r="J42" s="8"/>
      <c r="K42" s="66"/>
      <c r="L42" s="8"/>
      <c r="M42" s="66"/>
      <c r="N42" s="66"/>
      <c r="O42" s="68" t="s">
        <v>386</v>
      </c>
    </row>
    <row r="43" customFormat="false" ht="34.5" hidden="false" customHeight="true" outlineLevel="0" collapsed="false">
      <c r="A43" s="68" t="n">
        <v>41</v>
      </c>
      <c r="B43" s="68" t="s">
        <v>116</v>
      </c>
      <c r="C43" s="68" t="s">
        <v>625</v>
      </c>
      <c r="D43" s="68" t="s">
        <v>537</v>
      </c>
      <c r="E43" s="8" t="s">
        <v>633</v>
      </c>
      <c r="F43" s="8" t="s">
        <v>601</v>
      </c>
      <c r="G43" s="8" t="s">
        <v>634</v>
      </c>
      <c r="H43" s="8"/>
      <c r="I43" s="8"/>
      <c r="J43" s="8"/>
      <c r="K43" s="66"/>
      <c r="L43" s="8"/>
      <c r="M43" s="66"/>
      <c r="N43" s="66"/>
      <c r="O43" s="68" t="s">
        <v>386</v>
      </c>
    </row>
    <row r="44" customFormat="false" ht="23.25" hidden="false" customHeight="true" outlineLevel="0" collapsed="false">
      <c r="A44" s="68" t="n">
        <v>42</v>
      </c>
      <c r="B44" s="68" t="s">
        <v>116</v>
      </c>
      <c r="C44" s="68" t="s">
        <v>625</v>
      </c>
      <c r="D44" s="68" t="s">
        <v>541</v>
      </c>
      <c r="E44" s="8" t="s">
        <v>635</v>
      </c>
      <c r="F44" s="8" t="s">
        <v>601</v>
      </c>
      <c r="G44" s="8" t="s">
        <v>636</v>
      </c>
      <c r="H44" s="8"/>
      <c r="I44" s="8"/>
      <c r="J44" s="8"/>
      <c r="K44" s="66"/>
      <c r="L44" s="8"/>
      <c r="M44" s="66"/>
      <c r="N44" s="66"/>
      <c r="O44" s="68" t="s">
        <v>386</v>
      </c>
    </row>
    <row r="45" customFormat="false" ht="23.25" hidden="false" customHeight="true" outlineLevel="0" collapsed="false">
      <c r="A45" s="68" t="n">
        <v>43</v>
      </c>
      <c r="B45" s="68" t="s">
        <v>116</v>
      </c>
      <c r="C45" s="68" t="s">
        <v>625</v>
      </c>
      <c r="D45" s="68" t="s">
        <v>545</v>
      </c>
      <c r="E45" s="8" t="s">
        <v>637</v>
      </c>
      <c r="F45" s="8" t="s">
        <v>638</v>
      </c>
      <c r="G45" s="8" t="s">
        <v>639</v>
      </c>
      <c r="H45" s="8"/>
      <c r="I45" s="8"/>
      <c r="J45" s="8"/>
      <c r="K45" s="66"/>
      <c r="L45" s="8"/>
      <c r="M45" s="66"/>
      <c r="N45" s="66"/>
      <c r="O45" s="68" t="s">
        <v>386</v>
      </c>
    </row>
    <row r="46" customFormat="false" ht="34.5" hidden="false" customHeight="true" outlineLevel="0" collapsed="false">
      <c r="A46" s="68" t="n">
        <v>44</v>
      </c>
      <c r="B46" s="68" t="s">
        <v>116</v>
      </c>
      <c r="C46" s="68" t="s">
        <v>625</v>
      </c>
      <c r="D46" s="68" t="s">
        <v>640</v>
      </c>
      <c r="E46" s="8" t="s">
        <v>641</v>
      </c>
      <c r="F46" s="8" t="s">
        <v>642</v>
      </c>
      <c r="G46" s="8" t="s">
        <v>643</v>
      </c>
      <c r="H46" s="8"/>
      <c r="I46" s="8"/>
      <c r="J46" s="8"/>
      <c r="K46" s="66"/>
      <c r="L46" s="8"/>
      <c r="M46" s="66"/>
      <c r="N46" s="66"/>
      <c r="O46" s="68" t="s">
        <v>386</v>
      </c>
    </row>
    <row r="47" customFormat="false" ht="23.25" hidden="false" customHeight="true" outlineLevel="0" collapsed="false">
      <c r="A47" s="68" t="n">
        <v>45</v>
      </c>
      <c r="B47" s="68" t="s">
        <v>116</v>
      </c>
      <c r="C47" s="68" t="s">
        <v>625</v>
      </c>
      <c r="D47" s="68" t="s">
        <v>644</v>
      </c>
      <c r="E47" s="8" t="s">
        <v>645</v>
      </c>
      <c r="F47" s="8" t="s">
        <v>614</v>
      </c>
      <c r="G47" s="8" t="s">
        <v>646</v>
      </c>
      <c r="H47" s="8"/>
      <c r="I47" s="8"/>
      <c r="J47" s="8"/>
      <c r="K47" s="66"/>
      <c r="L47" s="8"/>
      <c r="M47" s="66"/>
      <c r="N47" s="66"/>
      <c r="O47" s="68" t="s">
        <v>386</v>
      </c>
    </row>
    <row r="48" customFormat="false" ht="23.25" hidden="false" customHeight="true" outlineLevel="0" collapsed="false">
      <c r="A48" s="68" t="n">
        <v>46</v>
      </c>
      <c r="B48" s="68" t="s">
        <v>116</v>
      </c>
      <c r="C48" s="68" t="s">
        <v>625</v>
      </c>
      <c r="D48" s="68" t="s">
        <v>647</v>
      </c>
      <c r="E48" s="8" t="s">
        <v>648</v>
      </c>
      <c r="F48" s="8" t="s">
        <v>555</v>
      </c>
      <c r="G48" s="8" t="s">
        <v>649</v>
      </c>
      <c r="H48" s="8"/>
      <c r="I48" s="8"/>
      <c r="J48" s="8"/>
      <c r="K48" s="66"/>
      <c r="L48" s="8"/>
      <c r="M48" s="66"/>
      <c r="N48" s="66"/>
      <c r="O48" s="68" t="s">
        <v>386</v>
      </c>
    </row>
    <row r="49" customFormat="false" ht="23.25" hidden="false" customHeight="true" outlineLevel="0" collapsed="false">
      <c r="A49" s="68" t="n">
        <v>47</v>
      </c>
      <c r="B49" s="68" t="s">
        <v>116</v>
      </c>
      <c r="C49" s="68" t="s">
        <v>625</v>
      </c>
      <c r="D49" s="68" t="s">
        <v>650</v>
      </c>
      <c r="E49" s="8" t="s">
        <v>651</v>
      </c>
      <c r="F49" s="8" t="s">
        <v>652</v>
      </c>
      <c r="G49" s="8" t="s">
        <v>653</v>
      </c>
      <c r="H49" s="8"/>
      <c r="I49" s="8"/>
      <c r="J49" s="8"/>
      <c r="K49" s="66"/>
      <c r="L49" s="8"/>
      <c r="M49" s="66"/>
      <c r="N49" s="66"/>
      <c r="O49" s="68" t="s">
        <v>386</v>
      </c>
    </row>
    <row r="50" customFormat="false" ht="34.5" hidden="false" customHeight="true" outlineLevel="0" collapsed="false">
      <c r="A50" s="68" t="n">
        <v>48</v>
      </c>
      <c r="B50" s="68" t="s">
        <v>116</v>
      </c>
      <c r="C50" s="68" t="s">
        <v>625</v>
      </c>
      <c r="D50" s="68" t="s">
        <v>654</v>
      </c>
      <c r="E50" s="8" t="s">
        <v>655</v>
      </c>
      <c r="F50" s="8" t="s">
        <v>656</v>
      </c>
      <c r="G50" s="8" t="s">
        <v>657</v>
      </c>
      <c r="H50" s="8"/>
      <c r="I50" s="8"/>
      <c r="J50" s="8"/>
      <c r="K50" s="66"/>
      <c r="L50" s="8"/>
      <c r="M50" s="66"/>
      <c r="N50" s="66"/>
      <c r="O50" s="68" t="s">
        <v>386</v>
      </c>
    </row>
    <row r="51" customFormat="false" ht="34.5" hidden="false" customHeight="true" outlineLevel="0" collapsed="false">
      <c r="A51" s="68" t="n">
        <v>49</v>
      </c>
      <c r="B51" s="68" t="s">
        <v>116</v>
      </c>
      <c r="C51" s="68" t="s">
        <v>625</v>
      </c>
      <c r="D51" s="68" t="s">
        <v>658</v>
      </c>
      <c r="E51" s="8" t="s">
        <v>659</v>
      </c>
      <c r="F51" s="8" t="s">
        <v>592</v>
      </c>
      <c r="G51" s="8" t="s">
        <v>660</v>
      </c>
      <c r="H51" s="8"/>
      <c r="I51" s="8"/>
      <c r="J51" s="8"/>
      <c r="K51" s="66"/>
      <c r="L51" s="8"/>
      <c r="M51" s="66"/>
      <c r="N51" s="66"/>
      <c r="O51" s="68" t="s">
        <v>386</v>
      </c>
    </row>
    <row r="52" customFormat="false" ht="34.5" hidden="false" customHeight="true" outlineLevel="0" collapsed="false">
      <c r="A52" s="68" t="n">
        <v>50</v>
      </c>
      <c r="B52" s="68" t="s">
        <v>116</v>
      </c>
      <c r="C52" s="68" t="s">
        <v>625</v>
      </c>
      <c r="D52" s="68" t="s">
        <v>661</v>
      </c>
      <c r="E52" s="8" t="s">
        <v>662</v>
      </c>
      <c r="F52" s="8" t="s">
        <v>663</v>
      </c>
      <c r="G52" s="8" t="s">
        <v>664</v>
      </c>
      <c r="H52" s="8"/>
      <c r="I52" s="8"/>
      <c r="J52" s="8"/>
      <c r="K52" s="66"/>
      <c r="L52" s="8"/>
      <c r="M52" s="66"/>
      <c r="N52" s="66"/>
      <c r="O52" s="68" t="s">
        <v>386</v>
      </c>
    </row>
    <row r="53" customFormat="false" ht="34.5" hidden="false" customHeight="true" outlineLevel="0" collapsed="false">
      <c r="A53" s="68" t="n">
        <v>51</v>
      </c>
      <c r="B53" s="68" t="s">
        <v>116</v>
      </c>
      <c r="C53" s="68" t="s">
        <v>625</v>
      </c>
      <c r="D53" s="68" t="s">
        <v>665</v>
      </c>
      <c r="E53" s="8" t="s">
        <v>666</v>
      </c>
      <c r="F53" s="8" t="s">
        <v>667</v>
      </c>
      <c r="G53" s="8" t="s">
        <v>668</v>
      </c>
      <c r="H53" s="8"/>
      <c r="I53" s="8"/>
      <c r="J53" s="8"/>
      <c r="K53" s="66"/>
      <c r="L53" s="8"/>
      <c r="M53" s="66"/>
      <c r="N53" s="66"/>
      <c r="O53" s="68" t="s">
        <v>386</v>
      </c>
    </row>
    <row r="54" customFormat="false" ht="23.25" hidden="false" customHeight="true" outlineLevel="0" collapsed="false">
      <c r="A54" s="68" t="n">
        <v>52</v>
      </c>
      <c r="B54" s="68" t="s">
        <v>116</v>
      </c>
      <c r="C54" s="68" t="s">
        <v>625</v>
      </c>
      <c r="D54" s="68" t="s">
        <v>669</v>
      </c>
      <c r="E54" s="8" t="s">
        <v>670</v>
      </c>
      <c r="F54" s="8" t="s">
        <v>671</v>
      </c>
      <c r="G54" s="8" t="s">
        <v>573</v>
      </c>
      <c r="H54" s="8"/>
      <c r="I54" s="8"/>
      <c r="J54" s="8"/>
      <c r="K54" s="66"/>
      <c r="L54" s="8"/>
      <c r="M54" s="66"/>
      <c r="N54" s="66"/>
      <c r="O54" s="68" t="s">
        <v>386</v>
      </c>
    </row>
    <row r="55" customFormat="false" ht="23.25" hidden="false" customHeight="true" outlineLevel="0" collapsed="false">
      <c r="A55" s="68" t="n">
        <v>53</v>
      </c>
      <c r="B55" s="68" t="s">
        <v>116</v>
      </c>
      <c r="C55" s="68" t="s">
        <v>625</v>
      </c>
      <c r="D55" s="68" t="s">
        <v>672</v>
      </c>
      <c r="E55" s="8" t="s">
        <v>673</v>
      </c>
      <c r="F55" s="8" t="s">
        <v>568</v>
      </c>
      <c r="G55" s="8" t="s">
        <v>674</v>
      </c>
      <c r="H55" s="8"/>
      <c r="I55" s="8"/>
      <c r="J55" s="8"/>
      <c r="K55" s="66"/>
      <c r="L55" s="8"/>
      <c r="M55" s="66"/>
      <c r="N55" s="66"/>
      <c r="O55" s="68" t="s">
        <v>386</v>
      </c>
    </row>
    <row r="56" customFormat="false" ht="34.5" hidden="false" customHeight="true" outlineLevel="0" collapsed="false">
      <c r="A56" s="68" t="n">
        <v>54</v>
      </c>
      <c r="B56" s="68" t="s">
        <v>116</v>
      </c>
      <c r="C56" s="68" t="s">
        <v>625</v>
      </c>
      <c r="D56" s="68" t="s">
        <v>549</v>
      </c>
      <c r="E56" s="8" t="s">
        <v>675</v>
      </c>
      <c r="F56" s="8" t="s">
        <v>671</v>
      </c>
      <c r="G56" s="8" t="s">
        <v>573</v>
      </c>
      <c r="H56" s="8"/>
      <c r="I56" s="8"/>
      <c r="J56" s="8"/>
      <c r="K56" s="66"/>
      <c r="L56" s="8"/>
      <c r="M56" s="66"/>
      <c r="N56" s="66"/>
      <c r="O56" s="68" t="s">
        <v>386</v>
      </c>
    </row>
    <row r="57" customFormat="false" ht="34.5" hidden="false" customHeight="true" outlineLevel="0" collapsed="false">
      <c r="A57" s="68" t="n">
        <v>55</v>
      </c>
      <c r="B57" s="68" t="s">
        <v>116</v>
      </c>
      <c r="C57" s="68" t="s">
        <v>625</v>
      </c>
      <c r="D57" s="68" t="s">
        <v>553</v>
      </c>
      <c r="E57" s="8" t="s">
        <v>676</v>
      </c>
      <c r="F57" s="8" t="s">
        <v>510</v>
      </c>
      <c r="G57" s="8" t="s">
        <v>677</v>
      </c>
      <c r="H57" s="8"/>
      <c r="I57" s="8"/>
      <c r="J57" s="8"/>
      <c r="K57" s="66"/>
      <c r="L57" s="8"/>
      <c r="M57" s="66"/>
      <c r="N57" s="66"/>
      <c r="O57" s="68" t="s">
        <v>386</v>
      </c>
    </row>
    <row r="58" customFormat="false" ht="34.5" hidden="false" customHeight="true" outlineLevel="0" collapsed="false">
      <c r="A58" s="68" t="n">
        <v>56</v>
      </c>
      <c r="B58" s="68" t="s">
        <v>116</v>
      </c>
      <c r="C58" s="68" t="s">
        <v>625</v>
      </c>
      <c r="D58" s="68" t="s">
        <v>609</v>
      </c>
      <c r="E58" s="8" t="s">
        <v>678</v>
      </c>
      <c r="F58" s="8" t="s">
        <v>572</v>
      </c>
      <c r="G58" s="8" t="s">
        <v>679</v>
      </c>
      <c r="H58" s="8"/>
      <c r="I58" s="8"/>
      <c r="J58" s="8"/>
      <c r="K58" s="66"/>
      <c r="L58" s="8"/>
      <c r="M58" s="66"/>
      <c r="N58" s="66"/>
      <c r="O58" s="68" t="s">
        <v>386</v>
      </c>
    </row>
    <row r="59" customFormat="false" ht="34.5" hidden="false" customHeight="true" outlineLevel="0" collapsed="false">
      <c r="A59" s="68" t="n">
        <v>57</v>
      </c>
      <c r="B59" s="68" t="s">
        <v>116</v>
      </c>
      <c r="C59" s="68" t="s">
        <v>625</v>
      </c>
      <c r="D59" s="68" t="s">
        <v>557</v>
      </c>
      <c r="E59" s="8" t="s">
        <v>680</v>
      </c>
      <c r="F59" s="8" t="s">
        <v>510</v>
      </c>
      <c r="G59" s="8" t="s">
        <v>536</v>
      </c>
      <c r="H59" s="8"/>
      <c r="I59" s="8"/>
      <c r="J59" s="8"/>
      <c r="K59" s="66"/>
      <c r="L59" s="8"/>
      <c r="M59" s="66"/>
      <c r="N59" s="66"/>
      <c r="O59" s="68" t="s">
        <v>386</v>
      </c>
    </row>
    <row r="60" customFormat="false" ht="23.25" hidden="false" customHeight="true" outlineLevel="0" collapsed="false">
      <c r="A60" s="68" t="n">
        <v>58</v>
      </c>
      <c r="B60" s="68" t="s">
        <v>116</v>
      </c>
      <c r="C60" s="68" t="s">
        <v>625</v>
      </c>
      <c r="D60" s="68" t="s">
        <v>559</v>
      </c>
      <c r="E60" s="8" t="s">
        <v>681</v>
      </c>
      <c r="F60" s="8" t="s">
        <v>682</v>
      </c>
      <c r="G60" s="8" t="s">
        <v>573</v>
      </c>
      <c r="H60" s="8"/>
      <c r="I60" s="8"/>
      <c r="J60" s="8"/>
      <c r="K60" s="66"/>
      <c r="L60" s="8"/>
      <c r="M60" s="66"/>
      <c r="N60" s="66"/>
      <c r="O60" s="68" t="s">
        <v>386</v>
      </c>
    </row>
    <row r="61" customFormat="false" ht="34.5" hidden="false" customHeight="true" outlineLevel="0" collapsed="false">
      <c r="A61" s="68" t="n">
        <v>59</v>
      </c>
      <c r="B61" s="68" t="s">
        <v>116</v>
      </c>
      <c r="C61" s="68" t="s">
        <v>625</v>
      </c>
      <c r="D61" s="68" t="s">
        <v>563</v>
      </c>
      <c r="E61" s="8" t="s">
        <v>683</v>
      </c>
      <c r="F61" s="8" t="s">
        <v>684</v>
      </c>
      <c r="G61" s="8" t="s">
        <v>679</v>
      </c>
      <c r="H61" s="8"/>
      <c r="I61" s="8"/>
      <c r="J61" s="8"/>
      <c r="K61" s="66"/>
      <c r="L61" s="8"/>
      <c r="M61" s="66"/>
      <c r="N61" s="66"/>
      <c r="O61" s="68" t="s">
        <v>386</v>
      </c>
    </row>
    <row r="62" customFormat="false" ht="23.25" hidden="false" customHeight="true" outlineLevel="0" collapsed="false">
      <c r="A62" s="69" t="n">
        <v>60</v>
      </c>
      <c r="B62" s="69" t="s">
        <v>117</v>
      </c>
      <c r="C62" s="69" t="s">
        <v>685</v>
      </c>
      <c r="D62" s="69" t="s">
        <v>478</v>
      </c>
      <c r="E62" s="8" t="s">
        <v>686</v>
      </c>
      <c r="F62" s="8" t="s">
        <v>589</v>
      </c>
      <c r="G62" s="8" t="s">
        <v>687</v>
      </c>
      <c r="H62" s="8"/>
      <c r="I62" s="8"/>
      <c r="J62" s="8"/>
      <c r="K62" s="66"/>
      <c r="L62" s="8"/>
      <c r="M62" s="66"/>
      <c r="N62" s="66"/>
      <c r="O62" s="69" t="s">
        <v>386</v>
      </c>
    </row>
    <row r="63" customFormat="false" ht="34.5" hidden="false" customHeight="true" outlineLevel="0" collapsed="false">
      <c r="A63" s="69" t="n">
        <v>61</v>
      </c>
      <c r="B63" s="69" t="s">
        <v>117</v>
      </c>
      <c r="C63" s="69" t="s">
        <v>685</v>
      </c>
      <c r="D63" s="69" t="s">
        <v>489</v>
      </c>
      <c r="E63" s="8" t="s">
        <v>688</v>
      </c>
      <c r="F63" s="8" t="s">
        <v>589</v>
      </c>
      <c r="G63" s="8" t="s">
        <v>492</v>
      </c>
      <c r="H63" s="8"/>
      <c r="I63" s="8"/>
      <c r="J63" s="8"/>
      <c r="K63" s="66"/>
      <c r="L63" s="8"/>
      <c r="M63" s="66"/>
      <c r="N63" s="66"/>
      <c r="O63" s="69" t="s">
        <v>386</v>
      </c>
    </row>
    <row r="64" customFormat="false" ht="23.25" hidden="false" customHeight="true" outlineLevel="0" collapsed="false">
      <c r="A64" s="69" t="n">
        <v>62</v>
      </c>
      <c r="B64" s="69" t="s">
        <v>117</v>
      </c>
      <c r="C64" s="69" t="s">
        <v>685</v>
      </c>
      <c r="D64" s="69" t="s">
        <v>499</v>
      </c>
      <c r="E64" s="8" t="s">
        <v>689</v>
      </c>
      <c r="F64" s="8" t="s">
        <v>561</v>
      </c>
      <c r="G64" s="8" t="s">
        <v>562</v>
      </c>
      <c r="H64" s="8"/>
      <c r="I64" s="8"/>
      <c r="J64" s="8"/>
      <c r="K64" s="66"/>
      <c r="L64" s="8"/>
      <c r="M64" s="66"/>
      <c r="N64" s="66"/>
      <c r="O64" s="69" t="s">
        <v>386</v>
      </c>
    </row>
    <row r="65" customFormat="false" ht="34.5" hidden="false" customHeight="true" outlineLevel="0" collapsed="false">
      <c r="A65" s="69" t="n">
        <v>63</v>
      </c>
      <c r="B65" s="69" t="s">
        <v>117</v>
      </c>
      <c r="C65" s="69" t="s">
        <v>685</v>
      </c>
      <c r="D65" s="69" t="s">
        <v>508</v>
      </c>
      <c r="E65" s="8" t="s">
        <v>690</v>
      </c>
      <c r="F65" s="8" t="s">
        <v>684</v>
      </c>
      <c r="G65" s="8" t="s">
        <v>679</v>
      </c>
      <c r="H65" s="8"/>
      <c r="I65" s="8"/>
      <c r="J65" s="8"/>
      <c r="K65" s="66"/>
      <c r="L65" s="8"/>
      <c r="M65" s="66"/>
      <c r="N65" s="66"/>
      <c r="O65" s="69" t="s">
        <v>386</v>
      </c>
    </row>
    <row r="66" customFormat="false" ht="34.5" hidden="false" customHeight="true" outlineLevel="0" collapsed="false">
      <c r="A66" s="69" t="n">
        <v>64</v>
      </c>
      <c r="B66" s="69" t="s">
        <v>117</v>
      </c>
      <c r="C66" s="69" t="s">
        <v>685</v>
      </c>
      <c r="D66" s="69" t="s">
        <v>537</v>
      </c>
      <c r="E66" s="8" t="s">
        <v>691</v>
      </c>
      <c r="F66" s="8" t="s">
        <v>551</v>
      </c>
      <c r="G66" s="8" t="s">
        <v>692</v>
      </c>
      <c r="H66" s="8"/>
      <c r="I66" s="8"/>
      <c r="J66" s="8"/>
      <c r="K66" s="66"/>
      <c r="L66" s="8"/>
      <c r="M66" s="66"/>
      <c r="N66" s="66"/>
      <c r="O66" s="69" t="s">
        <v>386</v>
      </c>
    </row>
    <row r="67" customFormat="false" ht="34.5" hidden="false" customHeight="true" outlineLevel="0" collapsed="false">
      <c r="A67" s="69" t="n">
        <v>65</v>
      </c>
      <c r="B67" s="69" t="s">
        <v>117</v>
      </c>
      <c r="C67" s="69" t="s">
        <v>685</v>
      </c>
      <c r="D67" s="69" t="s">
        <v>541</v>
      </c>
      <c r="E67" s="8" t="s">
        <v>693</v>
      </c>
      <c r="F67" s="8" t="s">
        <v>684</v>
      </c>
      <c r="G67" s="8" t="s">
        <v>679</v>
      </c>
      <c r="H67" s="8"/>
      <c r="I67" s="8"/>
      <c r="J67" s="8"/>
      <c r="K67" s="66"/>
      <c r="L67" s="8"/>
      <c r="M67" s="66"/>
      <c r="N67" s="66"/>
      <c r="O67" s="69" t="s">
        <v>386</v>
      </c>
    </row>
    <row r="68" customFormat="false" ht="34.5" hidden="false" customHeight="true" outlineLevel="0" collapsed="false">
      <c r="A68" s="69" t="n">
        <v>66</v>
      </c>
      <c r="B68" s="69" t="s">
        <v>117</v>
      </c>
      <c r="C68" s="69" t="s">
        <v>685</v>
      </c>
      <c r="D68" s="69" t="s">
        <v>545</v>
      </c>
      <c r="E68" s="8" t="s">
        <v>694</v>
      </c>
      <c r="F68" s="8" t="s">
        <v>561</v>
      </c>
      <c r="G68" s="8" t="s">
        <v>562</v>
      </c>
      <c r="H68" s="8"/>
      <c r="I68" s="8"/>
      <c r="J68" s="8"/>
      <c r="K68" s="66"/>
      <c r="L68" s="8"/>
      <c r="M68" s="66"/>
      <c r="N68" s="66"/>
      <c r="O68" s="69" t="s">
        <v>386</v>
      </c>
    </row>
    <row r="69" customFormat="false" ht="34.5" hidden="false" customHeight="true" outlineLevel="0" collapsed="false">
      <c r="A69" s="69" t="n">
        <v>67</v>
      </c>
      <c r="B69" s="69" t="s">
        <v>117</v>
      </c>
      <c r="C69" s="69" t="s">
        <v>685</v>
      </c>
      <c r="D69" s="69" t="s">
        <v>640</v>
      </c>
      <c r="E69" s="8" t="s">
        <v>695</v>
      </c>
      <c r="F69" s="8" t="s">
        <v>572</v>
      </c>
      <c r="G69" s="8" t="s">
        <v>573</v>
      </c>
      <c r="H69" s="8"/>
      <c r="I69" s="8"/>
      <c r="J69" s="8"/>
      <c r="K69" s="66"/>
      <c r="L69" s="8"/>
      <c r="M69" s="66"/>
      <c r="N69" s="66"/>
      <c r="O69" s="69" t="s">
        <v>386</v>
      </c>
    </row>
    <row r="70" customFormat="false" ht="34.5" hidden="false" customHeight="true" outlineLevel="0" collapsed="false">
      <c r="A70" s="69" t="n">
        <v>68</v>
      </c>
      <c r="B70" s="69" t="s">
        <v>117</v>
      </c>
      <c r="C70" s="69" t="s">
        <v>685</v>
      </c>
      <c r="D70" s="69" t="s">
        <v>549</v>
      </c>
      <c r="E70" s="8" t="s">
        <v>696</v>
      </c>
      <c r="F70" s="8" t="s">
        <v>619</v>
      </c>
      <c r="G70" s="8" t="s">
        <v>581</v>
      </c>
      <c r="H70" s="8"/>
      <c r="I70" s="8"/>
      <c r="J70" s="8"/>
      <c r="K70" s="66"/>
      <c r="L70" s="8"/>
      <c r="M70" s="66"/>
      <c r="N70" s="66"/>
      <c r="O70" s="69" t="s">
        <v>386</v>
      </c>
    </row>
    <row r="71" customFormat="false" ht="34.5" hidden="false" customHeight="true" outlineLevel="0" collapsed="false">
      <c r="A71" s="69" t="n">
        <v>69</v>
      </c>
      <c r="B71" s="69" t="s">
        <v>117</v>
      </c>
      <c r="C71" s="69" t="s">
        <v>685</v>
      </c>
      <c r="D71" s="69" t="s">
        <v>553</v>
      </c>
      <c r="E71" s="8" t="s">
        <v>697</v>
      </c>
      <c r="F71" s="8" t="s">
        <v>580</v>
      </c>
      <c r="G71" s="8" t="s">
        <v>698</v>
      </c>
      <c r="H71" s="8"/>
      <c r="I71" s="8"/>
      <c r="J71" s="8"/>
      <c r="K71" s="66"/>
      <c r="L71" s="8"/>
      <c r="M71" s="66"/>
      <c r="N71" s="66"/>
      <c r="O71" s="69" t="s">
        <v>386</v>
      </c>
    </row>
    <row r="72" customFormat="false" ht="34.5" hidden="false" customHeight="true" outlineLevel="0" collapsed="false">
      <c r="A72" s="69" t="n">
        <v>70</v>
      </c>
      <c r="B72" s="69" t="s">
        <v>117</v>
      </c>
      <c r="C72" s="69" t="s">
        <v>685</v>
      </c>
      <c r="D72" s="69" t="s">
        <v>557</v>
      </c>
      <c r="E72" s="8" t="s">
        <v>699</v>
      </c>
      <c r="F72" s="8" t="s">
        <v>671</v>
      </c>
      <c r="G72" s="8" t="s">
        <v>573</v>
      </c>
      <c r="H72" s="8"/>
      <c r="I72" s="8"/>
      <c r="J72" s="8"/>
      <c r="K72" s="66"/>
      <c r="L72" s="8"/>
      <c r="M72" s="66"/>
      <c r="N72" s="66"/>
      <c r="O72" s="69" t="s">
        <v>386</v>
      </c>
    </row>
    <row r="73" customFormat="false" ht="34.5" hidden="false" customHeight="true" outlineLevel="0" collapsed="false">
      <c r="A73" s="69" t="n">
        <v>71</v>
      </c>
      <c r="B73" s="69" t="s">
        <v>117</v>
      </c>
      <c r="C73" s="69" t="s">
        <v>685</v>
      </c>
      <c r="D73" s="69" t="s">
        <v>559</v>
      </c>
      <c r="E73" s="8" t="s">
        <v>700</v>
      </c>
      <c r="F73" s="8" t="s">
        <v>701</v>
      </c>
      <c r="G73" s="8" t="s">
        <v>565</v>
      </c>
      <c r="H73" s="8"/>
      <c r="I73" s="8"/>
      <c r="J73" s="8"/>
      <c r="K73" s="66"/>
      <c r="L73" s="8"/>
      <c r="M73" s="66"/>
      <c r="N73" s="66"/>
      <c r="O73" s="69" t="s">
        <v>386</v>
      </c>
    </row>
    <row r="74" customFormat="false" ht="34.5" hidden="false" customHeight="true" outlineLevel="0" collapsed="false">
      <c r="A74" s="69" t="n">
        <v>72</v>
      </c>
      <c r="B74" s="69" t="s">
        <v>117</v>
      </c>
      <c r="C74" s="69" t="s">
        <v>685</v>
      </c>
      <c r="D74" s="69" t="s">
        <v>563</v>
      </c>
      <c r="E74" s="8" t="s">
        <v>702</v>
      </c>
      <c r="F74" s="8" t="s">
        <v>561</v>
      </c>
      <c r="G74" s="8" t="s">
        <v>703</v>
      </c>
      <c r="H74" s="8"/>
      <c r="I74" s="8"/>
      <c r="J74" s="8"/>
      <c r="K74" s="66"/>
      <c r="L74" s="8"/>
      <c r="M74" s="66"/>
      <c r="N74" s="66"/>
      <c r="O74" s="69" t="s">
        <v>386</v>
      </c>
    </row>
  </sheetData>
  <mergeCells count="1">
    <mergeCell ref="A1:O1"/>
  </mergeCells>
  <conditionalFormatting sqref="K3:K74">
    <cfRule type="cellIs" priority="2" operator="equal" aboveAverage="0" equalAverage="0" bottom="0" percent="0" rank="0" text="" dxfId="3">
      <formula>"Critical"</formula>
    </cfRule>
    <cfRule type="cellIs" priority="3" operator="equal" aboveAverage="0" equalAverage="0" bottom="0" percent="0" rank="0" text="" dxfId="6">
      <formula>"High"</formula>
    </cfRule>
    <cfRule type="cellIs" priority="4" operator="equal" aboveAverage="0" equalAverage="0" bottom="0" percent="0" rank="0" text="" dxfId="7">
      <formula>"Medium"</formula>
    </cfRule>
    <cfRule type="cellIs" priority="5" operator="equal" aboveAverage="0" equalAverage="0" bottom="0" percent="0" rank="0" text="" dxfId="8">
      <formula>"Low"</formula>
    </cfRule>
  </conditionalFormatting>
  <conditionalFormatting sqref="O3:O74">
    <cfRule type="cellIs" priority="6" operator="equal" aboveAverage="0" equalAverage="0" bottom="0" percent="0" rank="0" text="" dxfId="9">
      <formula>"Not Started"</formula>
    </cfRule>
    <cfRule type="cellIs" priority="7" operator="equal" aboveAverage="0" equalAverage="0" bottom="0" percent="0" rank="0" text="" dxfId="10">
      <formula>"In Progress"</formula>
    </cfRule>
    <cfRule type="cellIs" priority="8" operator="equal" aboveAverage="0" equalAverage="0" bottom="0" percent="0" rank="0" text="" dxfId="11">
      <formula>"Remediation Planned"</formula>
    </cfRule>
    <cfRule type="cellIs" priority="9" operator="equal" aboveAverage="0" equalAverage="0" bottom="0" percent="0" rank="0" text="" dxfId="12">
      <formula>"Complete"</formula>
    </cfRule>
    <cfRule type="cellIs" priority="10" operator="equal" aboveAverage="0" equalAverage="0" bottom="0" percent="0" rank="0" text="" dxfId="13">
      <formula>"Not Applicable"</formula>
    </cfRule>
  </conditionalFormatting>
  <dataValidations count="3">
    <dataValidation allowBlank="true" errorStyle="stop" operator="between" showDropDown="false" showErrorMessage="false" showInputMessage="false" sqref="K3:K74" type="list">
      <formula1>"Critical,High,Medium,Low"</formula1>
      <formula2>0</formula2>
    </dataValidation>
    <dataValidation allowBlank="true" errorStyle="stop" operator="between" showDropDown="false" showErrorMessage="false" showInputMessage="false" sqref="N3:N74" type="list">
      <formula1>"P1,P2,P3,P4"</formula1>
      <formula2>0</formula2>
    </dataValidation>
    <dataValidation allowBlank="true" errorStyle="stop" operator="between" showDropDown="false" showErrorMessage="false" showInputMessage="false" sqref="O3:O74" type="list">
      <formula1>"Not Started,In Progress,Remediation Planned,Complete,Not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10"/>
    <col collapsed="false" customWidth="true" hidden="false" outlineLevel="0" max="4" min="4" style="1" width="32"/>
    <col collapsed="false" customWidth="true" hidden="false" outlineLevel="0" max="5" min="5" style="1" width="16"/>
    <col collapsed="false" customWidth="true" hidden="false" outlineLevel="0" max="6" min="6" style="1" width="44"/>
    <col collapsed="false" customWidth="true" hidden="false" outlineLevel="0" max="7" min="7" style="1" width="22"/>
    <col collapsed="false" customWidth="true" hidden="false" outlineLevel="0" max="9" min="8" style="1" width="20"/>
    <col collapsed="false" customWidth="true" hidden="false" outlineLevel="0" max="10" min="10" style="1" width="12"/>
    <col collapsed="false" customWidth="true" hidden="false" outlineLevel="0" max="11" min="11" style="1" width="10"/>
    <col collapsed="false" customWidth="true" hidden="false" outlineLevel="0" max="12" min="12" style="1" width="14"/>
  </cols>
  <sheetData>
    <row r="1" customFormat="false" ht="24" hidden="false" customHeight="true" outlineLevel="0" collapsed="false">
      <c r="A1" s="60" t="s">
        <v>704</v>
      </c>
      <c r="B1" s="60"/>
      <c r="C1" s="60"/>
      <c r="D1" s="60"/>
      <c r="E1" s="60"/>
      <c r="F1" s="60"/>
      <c r="G1" s="60"/>
      <c r="H1" s="60"/>
      <c r="I1" s="60"/>
      <c r="J1" s="60"/>
      <c r="K1" s="60"/>
    </row>
    <row r="2" customFormat="false" ht="30" hidden="false" customHeight="true" outlineLevel="0" collapsed="false">
      <c r="A2" s="61" t="s">
        <v>88</v>
      </c>
      <c r="B2" s="61" t="s">
        <v>705</v>
      </c>
      <c r="C2" s="61" t="s">
        <v>706</v>
      </c>
      <c r="D2" s="61" t="s">
        <v>707</v>
      </c>
      <c r="E2" s="61" t="s">
        <v>708</v>
      </c>
      <c r="F2" s="61" t="s">
        <v>709</v>
      </c>
      <c r="G2" s="61" t="s">
        <v>710</v>
      </c>
      <c r="H2" s="61" t="s">
        <v>473</v>
      </c>
      <c r="I2" s="61" t="s">
        <v>475</v>
      </c>
      <c r="J2" s="61" t="s">
        <v>125</v>
      </c>
      <c r="K2" s="61" t="s">
        <v>476</v>
      </c>
      <c r="L2" s="61" t="s">
        <v>381</v>
      </c>
    </row>
    <row r="3" customFormat="false" ht="34.5" hidden="false" customHeight="true" outlineLevel="0" collapsed="false">
      <c r="A3" s="66" t="n">
        <v>1</v>
      </c>
      <c r="B3" s="66" t="s">
        <v>711</v>
      </c>
      <c r="C3" s="66" t="s">
        <v>712</v>
      </c>
      <c r="D3" s="8" t="s">
        <v>713</v>
      </c>
      <c r="E3" s="66" t="s">
        <v>714</v>
      </c>
      <c r="F3" s="8" t="s">
        <v>715</v>
      </c>
      <c r="G3" s="66" t="s">
        <v>716</v>
      </c>
      <c r="H3" s="8"/>
      <c r="I3" s="8"/>
      <c r="J3" s="66"/>
      <c r="K3" s="66"/>
      <c r="L3" s="66" t="s">
        <v>386</v>
      </c>
    </row>
    <row r="4" customFormat="false" ht="34.5" hidden="false" customHeight="true" outlineLevel="0" collapsed="false">
      <c r="A4" s="66" t="n">
        <v>2</v>
      </c>
      <c r="B4" s="66" t="s">
        <v>711</v>
      </c>
      <c r="C4" s="66" t="s">
        <v>717</v>
      </c>
      <c r="D4" s="8" t="s">
        <v>718</v>
      </c>
      <c r="E4" s="66" t="s">
        <v>714</v>
      </c>
      <c r="F4" s="8" t="s">
        <v>719</v>
      </c>
      <c r="G4" s="66" t="s">
        <v>716</v>
      </c>
      <c r="H4" s="8"/>
      <c r="I4" s="8"/>
      <c r="J4" s="66"/>
      <c r="K4" s="66"/>
      <c r="L4" s="66" t="s">
        <v>386</v>
      </c>
    </row>
    <row r="5" customFormat="false" ht="23.25" hidden="false" customHeight="true" outlineLevel="0" collapsed="false">
      <c r="A5" s="66" t="n">
        <v>3</v>
      </c>
      <c r="B5" s="66" t="s">
        <v>711</v>
      </c>
      <c r="C5" s="66" t="s">
        <v>720</v>
      </c>
      <c r="D5" s="8" t="s">
        <v>721</v>
      </c>
      <c r="E5" s="66" t="s">
        <v>714</v>
      </c>
      <c r="F5" s="8" t="s">
        <v>722</v>
      </c>
      <c r="G5" s="66" t="s">
        <v>716</v>
      </c>
      <c r="H5" s="8"/>
      <c r="I5" s="8"/>
      <c r="J5" s="66"/>
      <c r="K5" s="66"/>
      <c r="L5" s="66" t="s">
        <v>386</v>
      </c>
    </row>
    <row r="6" customFormat="false" ht="23.25" hidden="false" customHeight="true" outlineLevel="0" collapsed="false">
      <c r="A6" s="66" t="n">
        <v>4</v>
      </c>
      <c r="B6" s="66" t="s">
        <v>711</v>
      </c>
      <c r="C6" s="66" t="s">
        <v>723</v>
      </c>
      <c r="D6" s="8" t="s">
        <v>724</v>
      </c>
      <c r="E6" s="66" t="s">
        <v>725</v>
      </c>
      <c r="F6" s="8" t="s">
        <v>726</v>
      </c>
      <c r="G6" s="66" t="s">
        <v>727</v>
      </c>
      <c r="H6" s="8"/>
      <c r="I6" s="8"/>
      <c r="J6" s="66"/>
      <c r="K6" s="66"/>
      <c r="L6" s="66" t="s">
        <v>386</v>
      </c>
    </row>
    <row r="7" customFormat="false" ht="45.75" hidden="false" customHeight="true" outlineLevel="0" collapsed="false">
      <c r="A7" s="66" t="n">
        <v>5</v>
      </c>
      <c r="B7" s="66" t="s">
        <v>728</v>
      </c>
      <c r="C7" s="66" t="s">
        <v>729</v>
      </c>
      <c r="D7" s="8" t="s">
        <v>730</v>
      </c>
      <c r="E7" s="66" t="s">
        <v>714</v>
      </c>
      <c r="F7" s="8" t="s">
        <v>731</v>
      </c>
      <c r="G7" s="66" t="s">
        <v>727</v>
      </c>
      <c r="H7" s="8"/>
      <c r="I7" s="8"/>
      <c r="J7" s="66"/>
      <c r="K7" s="66"/>
      <c r="L7" s="66" t="s">
        <v>386</v>
      </c>
    </row>
    <row r="8" customFormat="false" ht="23.25" hidden="false" customHeight="true" outlineLevel="0" collapsed="false">
      <c r="A8" s="66" t="n">
        <v>6</v>
      </c>
      <c r="B8" s="66" t="s">
        <v>732</v>
      </c>
      <c r="C8" s="66" t="s">
        <v>733</v>
      </c>
      <c r="D8" s="8" t="s">
        <v>734</v>
      </c>
      <c r="E8" s="66" t="s">
        <v>735</v>
      </c>
      <c r="F8" s="8" t="s">
        <v>736</v>
      </c>
      <c r="G8" s="66" t="s">
        <v>737</v>
      </c>
      <c r="H8" s="8"/>
      <c r="I8" s="8"/>
      <c r="J8" s="66"/>
      <c r="K8" s="66"/>
      <c r="L8" s="66" t="s">
        <v>386</v>
      </c>
    </row>
    <row r="9" customFormat="false" ht="23.25" hidden="false" customHeight="true" outlineLevel="0" collapsed="false">
      <c r="A9" s="66" t="n">
        <v>7</v>
      </c>
      <c r="B9" s="66" t="s">
        <v>732</v>
      </c>
      <c r="C9" s="66" t="s">
        <v>738</v>
      </c>
      <c r="D9" s="8" t="s">
        <v>739</v>
      </c>
      <c r="E9" s="66" t="s">
        <v>740</v>
      </c>
      <c r="F9" s="8" t="s">
        <v>741</v>
      </c>
      <c r="G9" s="66" t="s">
        <v>737</v>
      </c>
      <c r="H9" s="8"/>
      <c r="I9" s="8"/>
      <c r="J9" s="66"/>
      <c r="K9" s="66"/>
      <c r="L9" s="66" t="s">
        <v>386</v>
      </c>
    </row>
    <row r="10" customFormat="false" ht="34.5" hidden="false" customHeight="true" outlineLevel="0" collapsed="false">
      <c r="A10" s="66" t="n">
        <v>8</v>
      </c>
      <c r="B10" s="66" t="s">
        <v>742</v>
      </c>
      <c r="C10" s="66" t="s">
        <v>743</v>
      </c>
      <c r="D10" s="8" t="s">
        <v>744</v>
      </c>
      <c r="E10" s="66" t="s">
        <v>735</v>
      </c>
      <c r="F10" s="8" t="s">
        <v>745</v>
      </c>
      <c r="G10" s="66" t="s">
        <v>737</v>
      </c>
      <c r="H10" s="8"/>
      <c r="I10" s="8"/>
      <c r="J10" s="66"/>
      <c r="K10" s="66"/>
      <c r="L10" s="66" t="s">
        <v>386</v>
      </c>
    </row>
    <row r="11" customFormat="false" ht="23.25" hidden="false" customHeight="true" outlineLevel="0" collapsed="false">
      <c r="A11" s="66" t="n">
        <v>9</v>
      </c>
      <c r="B11" s="66" t="s">
        <v>742</v>
      </c>
      <c r="C11" s="66" t="s">
        <v>320</v>
      </c>
      <c r="D11" s="8" t="s">
        <v>746</v>
      </c>
      <c r="E11" s="66" t="s">
        <v>735</v>
      </c>
      <c r="F11" s="8" t="s">
        <v>747</v>
      </c>
      <c r="G11" s="66" t="s">
        <v>737</v>
      </c>
      <c r="H11" s="8"/>
      <c r="I11" s="8"/>
      <c r="J11" s="66"/>
      <c r="K11" s="66"/>
      <c r="L11" s="66" t="s">
        <v>386</v>
      </c>
    </row>
    <row r="12" customFormat="false" ht="23.25" hidden="false" customHeight="true" outlineLevel="0" collapsed="false">
      <c r="A12" s="66" t="n">
        <v>10</v>
      </c>
      <c r="B12" s="66" t="s">
        <v>742</v>
      </c>
      <c r="C12" s="66" t="s">
        <v>748</v>
      </c>
      <c r="D12" s="8" t="s">
        <v>749</v>
      </c>
      <c r="E12" s="66" t="s">
        <v>735</v>
      </c>
      <c r="F12" s="8" t="s">
        <v>750</v>
      </c>
      <c r="G12" s="66" t="s">
        <v>737</v>
      </c>
      <c r="H12" s="8"/>
      <c r="I12" s="8"/>
      <c r="J12" s="66"/>
      <c r="K12" s="66"/>
      <c r="L12" s="66" t="s">
        <v>386</v>
      </c>
    </row>
    <row r="13" customFormat="false" ht="23.25" hidden="false" customHeight="true" outlineLevel="0" collapsed="false">
      <c r="A13" s="66" t="n">
        <v>11</v>
      </c>
      <c r="B13" s="66" t="s">
        <v>742</v>
      </c>
      <c r="C13" s="66" t="s">
        <v>751</v>
      </c>
      <c r="D13" s="8" t="s">
        <v>752</v>
      </c>
      <c r="E13" s="66" t="s">
        <v>735</v>
      </c>
      <c r="F13" s="8" t="s">
        <v>753</v>
      </c>
      <c r="G13" s="66" t="s">
        <v>737</v>
      </c>
      <c r="H13" s="8"/>
      <c r="I13" s="8"/>
      <c r="J13" s="66"/>
      <c r="K13" s="66"/>
      <c r="L13" s="66" t="s">
        <v>386</v>
      </c>
    </row>
    <row r="14" customFormat="false" ht="23.25" hidden="false" customHeight="true" outlineLevel="0" collapsed="false">
      <c r="A14" s="66" t="n">
        <v>12</v>
      </c>
      <c r="B14" s="66" t="s">
        <v>742</v>
      </c>
      <c r="C14" s="66" t="s">
        <v>754</v>
      </c>
      <c r="D14" s="8" t="s">
        <v>755</v>
      </c>
      <c r="E14" s="66" t="s">
        <v>735</v>
      </c>
      <c r="F14" s="8" t="s">
        <v>756</v>
      </c>
      <c r="G14" s="66" t="s">
        <v>737</v>
      </c>
      <c r="H14" s="8"/>
      <c r="I14" s="8"/>
      <c r="J14" s="66"/>
      <c r="K14" s="66"/>
      <c r="L14" s="66" t="s">
        <v>386</v>
      </c>
    </row>
    <row r="15" customFormat="false" ht="23.25" hidden="false" customHeight="true" outlineLevel="0" collapsed="false">
      <c r="A15" s="66" t="n">
        <v>13</v>
      </c>
      <c r="B15" s="66" t="s">
        <v>742</v>
      </c>
      <c r="C15" s="66" t="s">
        <v>757</v>
      </c>
      <c r="D15" s="8" t="s">
        <v>758</v>
      </c>
      <c r="E15" s="66" t="s">
        <v>735</v>
      </c>
      <c r="F15" s="8" t="s">
        <v>759</v>
      </c>
      <c r="G15" s="66" t="s">
        <v>737</v>
      </c>
      <c r="H15" s="8"/>
      <c r="I15" s="8"/>
      <c r="J15" s="66"/>
      <c r="K15" s="66"/>
      <c r="L15" s="66" t="s">
        <v>386</v>
      </c>
    </row>
    <row r="16" customFormat="false" ht="34.5" hidden="false" customHeight="true" outlineLevel="0" collapsed="false">
      <c r="A16" s="66" t="n">
        <v>14</v>
      </c>
      <c r="B16" s="66" t="s">
        <v>742</v>
      </c>
      <c r="C16" s="66" t="s">
        <v>760</v>
      </c>
      <c r="D16" s="8" t="s">
        <v>761</v>
      </c>
      <c r="E16" s="66" t="s">
        <v>735</v>
      </c>
      <c r="F16" s="8" t="s">
        <v>762</v>
      </c>
      <c r="G16" s="66" t="s">
        <v>737</v>
      </c>
      <c r="H16" s="8"/>
      <c r="I16" s="8"/>
      <c r="J16" s="66"/>
      <c r="K16" s="66"/>
      <c r="L16" s="66" t="s">
        <v>386</v>
      </c>
    </row>
    <row r="17" customFormat="false" ht="23.25" hidden="false" customHeight="true" outlineLevel="0" collapsed="false">
      <c r="A17" s="66" t="n">
        <v>15</v>
      </c>
      <c r="B17" s="66" t="s">
        <v>742</v>
      </c>
      <c r="C17" s="66" t="s">
        <v>341</v>
      </c>
      <c r="D17" s="8" t="s">
        <v>763</v>
      </c>
      <c r="E17" s="66" t="s">
        <v>735</v>
      </c>
      <c r="F17" s="8" t="s">
        <v>764</v>
      </c>
      <c r="G17" s="66" t="s">
        <v>737</v>
      </c>
      <c r="H17" s="8"/>
      <c r="I17" s="8"/>
      <c r="J17" s="66"/>
      <c r="K17" s="66"/>
      <c r="L17" s="66" t="s">
        <v>386</v>
      </c>
    </row>
    <row r="18" customFormat="false" ht="34.5" hidden="false" customHeight="true" outlineLevel="0" collapsed="false">
      <c r="A18" s="66" t="n">
        <v>16</v>
      </c>
      <c r="B18" s="66" t="s">
        <v>765</v>
      </c>
      <c r="C18" s="66" t="s">
        <v>766</v>
      </c>
      <c r="D18" s="8" t="s">
        <v>767</v>
      </c>
      <c r="E18" s="66" t="s">
        <v>735</v>
      </c>
      <c r="F18" s="8" t="s">
        <v>768</v>
      </c>
      <c r="G18" s="66" t="s">
        <v>737</v>
      </c>
      <c r="H18" s="8"/>
      <c r="I18" s="8"/>
      <c r="J18" s="66"/>
      <c r="K18" s="66"/>
      <c r="L18" s="66" t="s">
        <v>386</v>
      </c>
    </row>
    <row r="19" customFormat="false" ht="23.25" hidden="false" customHeight="true" outlineLevel="0" collapsed="false">
      <c r="A19" s="66" t="n">
        <v>17</v>
      </c>
      <c r="B19" s="66" t="s">
        <v>765</v>
      </c>
      <c r="C19" s="66" t="s">
        <v>769</v>
      </c>
      <c r="D19" s="8" t="s">
        <v>770</v>
      </c>
      <c r="E19" s="66" t="s">
        <v>735</v>
      </c>
      <c r="F19" s="8" t="s">
        <v>771</v>
      </c>
      <c r="G19" s="66" t="s">
        <v>737</v>
      </c>
      <c r="H19" s="8"/>
      <c r="I19" s="8"/>
      <c r="J19" s="66"/>
      <c r="K19" s="66"/>
      <c r="L19" s="66" t="s">
        <v>386</v>
      </c>
    </row>
    <row r="20" customFormat="false" ht="23.25" hidden="false" customHeight="true" outlineLevel="0" collapsed="false">
      <c r="A20" s="66" t="n">
        <v>18</v>
      </c>
      <c r="B20" s="66" t="s">
        <v>765</v>
      </c>
      <c r="C20" s="66" t="s">
        <v>772</v>
      </c>
      <c r="D20" s="8" t="s">
        <v>773</v>
      </c>
      <c r="E20" s="66" t="s">
        <v>735</v>
      </c>
      <c r="F20" s="8" t="s">
        <v>774</v>
      </c>
      <c r="G20" s="66" t="s">
        <v>737</v>
      </c>
      <c r="H20" s="8"/>
      <c r="I20" s="8"/>
      <c r="J20" s="66"/>
      <c r="K20" s="66"/>
      <c r="L20" s="66" t="s">
        <v>386</v>
      </c>
    </row>
    <row r="21" customFormat="false" ht="23.25" hidden="false" customHeight="true" outlineLevel="0" collapsed="false">
      <c r="A21" s="66" t="n">
        <v>19</v>
      </c>
      <c r="B21" s="66" t="s">
        <v>765</v>
      </c>
      <c r="C21" s="66" t="s">
        <v>775</v>
      </c>
      <c r="D21" s="8" t="s">
        <v>776</v>
      </c>
      <c r="E21" s="66" t="s">
        <v>735</v>
      </c>
      <c r="F21" s="8" t="s">
        <v>777</v>
      </c>
      <c r="G21" s="66" t="s">
        <v>737</v>
      </c>
      <c r="H21" s="8"/>
      <c r="I21" s="8"/>
      <c r="J21" s="66"/>
      <c r="K21" s="66"/>
      <c r="L21" s="66" t="s">
        <v>386</v>
      </c>
    </row>
    <row r="22" customFormat="false" ht="23.25" hidden="false" customHeight="true" outlineLevel="0" collapsed="false">
      <c r="A22" s="66" t="n">
        <v>20</v>
      </c>
      <c r="B22" s="66" t="s">
        <v>765</v>
      </c>
      <c r="C22" s="66" t="s">
        <v>778</v>
      </c>
      <c r="D22" s="8" t="s">
        <v>779</v>
      </c>
      <c r="E22" s="66" t="s">
        <v>735</v>
      </c>
      <c r="F22" s="8" t="s">
        <v>780</v>
      </c>
      <c r="G22" s="66" t="s">
        <v>737</v>
      </c>
      <c r="H22" s="8"/>
      <c r="I22" s="8"/>
      <c r="J22" s="66"/>
      <c r="K22" s="66"/>
      <c r="L22" s="66" t="s">
        <v>386</v>
      </c>
    </row>
    <row r="23" customFormat="false" ht="23.25" hidden="false" customHeight="true" outlineLevel="0" collapsed="false">
      <c r="A23" s="66" t="n">
        <v>21</v>
      </c>
      <c r="B23" s="66" t="s">
        <v>765</v>
      </c>
      <c r="C23" s="66" t="s">
        <v>781</v>
      </c>
      <c r="D23" s="8" t="s">
        <v>782</v>
      </c>
      <c r="E23" s="66" t="s">
        <v>735</v>
      </c>
      <c r="F23" s="8" t="s">
        <v>783</v>
      </c>
      <c r="G23" s="66" t="s">
        <v>737</v>
      </c>
      <c r="H23" s="8"/>
      <c r="I23" s="8"/>
      <c r="J23" s="66"/>
      <c r="K23" s="66"/>
      <c r="L23" s="66" t="s">
        <v>386</v>
      </c>
    </row>
    <row r="24" customFormat="false" ht="34.5" hidden="false" customHeight="true" outlineLevel="0" collapsed="false">
      <c r="A24" s="66" t="n">
        <v>22</v>
      </c>
      <c r="B24" s="66" t="s">
        <v>784</v>
      </c>
      <c r="C24" s="66" t="s">
        <v>785</v>
      </c>
      <c r="D24" s="8" t="s">
        <v>786</v>
      </c>
      <c r="E24" s="66" t="s">
        <v>787</v>
      </c>
      <c r="F24" s="8" t="s">
        <v>788</v>
      </c>
      <c r="G24" s="66" t="s">
        <v>737</v>
      </c>
      <c r="H24" s="8"/>
      <c r="I24" s="8"/>
      <c r="J24" s="66"/>
      <c r="K24" s="66"/>
      <c r="L24" s="66" t="s">
        <v>386</v>
      </c>
    </row>
    <row r="25" customFormat="false" ht="34.5" hidden="false" customHeight="true" outlineLevel="0" collapsed="false">
      <c r="A25" s="66" t="n">
        <v>23</v>
      </c>
      <c r="B25" s="66" t="s">
        <v>784</v>
      </c>
      <c r="C25" s="66" t="s">
        <v>789</v>
      </c>
      <c r="D25" s="8" t="s">
        <v>790</v>
      </c>
      <c r="E25" s="66" t="s">
        <v>787</v>
      </c>
      <c r="F25" s="8" t="s">
        <v>791</v>
      </c>
      <c r="G25" s="66" t="s">
        <v>737</v>
      </c>
      <c r="H25" s="8"/>
      <c r="I25" s="8"/>
      <c r="J25" s="66"/>
      <c r="K25" s="66"/>
      <c r="L25" s="66" t="s">
        <v>386</v>
      </c>
    </row>
    <row r="26" customFormat="false" ht="23.25" hidden="false" customHeight="true" outlineLevel="0" collapsed="false">
      <c r="A26" s="66" t="n">
        <v>24</v>
      </c>
      <c r="B26" s="66" t="s">
        <v>792</v>
      </c>
      <c r="C26" s="66" t="s">
        <v>793</v>
      </c>
      <c r="D26" s="8" t="s">
        <v>794</v>
      </c>
      <c r="E26" s="66" t="s">
        <v>735</v>
      </c>
      <c r="F26" s="8" t="s">
        <v>795</v>
      </c>
      <c r="G26" s="66" t="s">
        <v>737</v>
      </c>
      <c r="H26" s="8"/>
      <c r="I26" s="8"/>
      <c r="J26" s="66"/>
      <c r="K26" s="66"/>
      <c r="L26" s="66" t="s">
        <v>386</v>
      </c>
    </row>
    <row r="27" customFormat="false" ht="23.25" hidden="false" customHeight="true" outlineLevel="0" collapsed="false">
      <c r="A27" s="66" t="n">
        <v>25</v>
      </c>
      <c r="B27" s="66" t="s">
        <v>792</v>
      </c>
      <c r="C27" s="66" t="s">
        <v>796</v>
      </c>
      <c r="D27" s="8" t="s">
        <v>797</v>
      </c>
      <c r="E27" s="66" t="s">
        <v>735</v>
      </c>
      <c r="F27" s="8" t="s">
        <v>798</v>
      </c>
      <c r="G27" s="66" t="s">
        <v>737</v>
      </c>
      <c r="H27" s="8"/>
      <c r="I27" s="8"/>
      <c r="J27" s="66"/>
      <c r="K27" s="66"/>
      <c r="L27" s="66" t="s">
        <v>386</v>
      </c>
    </row>
    <row r="28" customFormat="false" ht="23.25" hidden="false" customHeight="true" outlineLevel="0" collapsed="false">
      <c r="A28" s="66" t="n">
        <v>26</v>
      </c>
      <c r="B28" s="66" t="s">
        <v>792</v>
      </c>
      <c r="C28" s="66" t="s">
        <v>799</v>
      </c>
      <c r="D28" s="8" t="s">
        <v>800</v>
      </c>
      <c r="E28" s="66" t="s">
        <v>735</v>
      </c>
      <c r="F28" s="8" t="s">
        <v>801</v>
      </c>
      <c r="G28" s="66" t="s">
        <v>737</v>
      </c>
      <c r="H28" s="8"/>
      <c r="I28" s="8"/>
      <c r="J28" s="66"/>
      <c r="K28" s="66"/>
      <c r="L28" s="66" t="s">
        <v>386</v>
      </c>
    </row>
    <row r="29" customFormat="false" ht="23.25" hidden="false" customHeight="true" outlineLevel="0" collapsed="false">
      <c r="A29" s="66" t="n">
        <v>27</v>
      </c>
      <c r="B29" s="66" t="s">
        <v>792</v>
      </c>
      <c r="C29" s="66" t="s">
        <v>802</v>
      </c>
      <c r="D29" s="8" t="s">
        <v>803</v>
      </c>
      <c r="E29" s="66" t="s">
        <v>804</v>
      </c>
      <c r="F29" s="8" t="s">
        <v>805</v>
      </c>
      <c r="G29" s="66" t="s">
        <v>737</v>
      </c>
      <c r="H29" s="8"/>
      <c r="I29" s="8"/>
      <c r="J29" s="66"/>
      <c r="K29" s="66"/>
      <c r="L29" s="66" t="s">
        <v>386</v>
      </c>
    </row>
    <row r="30" customFormat="false" ht="34.5" hidden="false" customHeight="true" outlineLevel="0" collapsed="false">
      <c r="A30" s="66" t="n">
        <v>28</v>
      </c>
      <c r="B30" s="66" t="s">
        <v>806</v>
      </c>
      <c r="C30" s="66" t="s">
        <v>807</v>
      </c>
      <c r="D30" s="8" t="s">
        <v>808</v>
      </c>
      <c r="E30" s="66" t="s">
        <v>725</v>
      </c>
      <c r="F30" s="8" t="s">
        <v>809</v>
      </c>
      <c r="G30" s="66" t="s">
        <v>737</v>
      </c>
      <c r="H30" s="8"/>
      <c r="I30" s="8"/>
      <c r="J30" s="66"/>
      <c r="K30" s="66"/>
      <c r="L30" s="66" t="s">
        <v>386</v>
      </c>
    </row>
    <row r="31" customFormat="false" ht="23.25" hidden="false" customHeight="true" outlineLevel="0" collapsed="false">
      <c r="A31" s="66" t="n">
        <v>29</v>
      </c>
      <c r="B31" s="66" t="s">
        <v>810</v>
      </c>
      <c r="C31" s="66" t="s">
        <v>811</v>
      </c>
      <c r="D31" s="8" t="s">
        <v>812</v>
      </c>
      <c r="E31" s="66" t="s">
        <v>813</v>
      </c>
      <c r="F31" s="8" t="s">
        <v>814</v>
      </c>
      <c r="G31" s="66" t="s">
        <v>815</v>
      </c>
      <c r="H31" s="8"/>
      <c r="I31" s="8"/>
      <c r="J31" s="66"/>
      <c r="K31" s="66"/>
      <c r="L31" s="66" t="s">
        <v>386</v>
      </c>
    </row>
    <row r="32" customFormat="false" ht="23.25" hidden="false" customHeight="true" outlineLevel="0" collapsed="false">
      <c r="A32" s="66" t="n">
        <v>30</v>
      </c>
      <c r="B32" s="66" t="s">
        <v>810</v>
      </c>
      <c r="C32" s="66" t="s">
        <v>816</v>
      </c>
      <c r="D32" s="8" t="s">
        <v>817</v>
      </c>
      <c r="E32" s="66" t="s">
        <v>818</v>
      </c>
      <c r="F32" s="8" t="s">
        <v>819</v>
      </c>
      <c r="G32" s="66" t="s">
        <v>815</v>
      </c>
      <c r="H32" s="8"/>
      <c r="I32" s="8"/>
      <c r="J32" s="66"/>
      <c r="K32" s="66"/>
      <c r="L32" s="66" t="s">
        <v>386</v>
      </c>
    </row>
    <row r="33" customFormat="false" ht="34.5" hidden="false" customHeight="true" outlineLevel="0" collapsed="false">
      <c r="A33" s="66" t="n">
        <v>31</v>
      </c>
      <c r="B33" s="66" t="s">
        <v>810</v>
      </c>
      <c r="C33" s="66" t="s">
        <v>820</v>
      </c>
      <c r="D33" s="8" t="s">
        <v>821</v>
      </c>
      <c r="E33" s="66" t="s">
        <v>818</v>
      </c>
      <c r="F33" s="8" t="s">
        <v>822</v>
      </c>
      <c r="G33" s="66" t="s">
        <v>815</v>
      </c>
      <c r="H33" s="8"/>
      <c r="I33" s="8"/>
      <c r="J33" s="66"/>
      <c r="K33" s="66"/>
      <c r="L33" s="66" t="s">
        <v>386</v>
      </c>
    </row>
    <row r="34" customFormat="false" ht="34.5" hidden="false" customHeight="true" outlineLevel="0" collapsed="false">
      <c r="A34" s="66" t="n">
        <v>32</v>
      </c>
      <c r="B34" s="66" t="s">
        <v>823</v>
      </c>
      <c r="C34" s="66" t="s">
        <v>824</v>
      </c>
      <c r="D34" s="8" t="s">
        <v>825</v>
      </c>
      <c r="E34" s="66" t="s">
        <v>735</v>
      </c>
      <c r="F34" s="8" t="s">
        <v>826</v>
      </c>
      <c r="G34" s="66" t="s">
        <v>737</v>
      </c>
      <c r="H34" s="8"/>
      <c r="I34" s="8"/>
      <c r="J34" s="66"/>
      <c r="K34" s="66"/>
      <c r="L34" s="66" t="s">
        <v>386</v>
      </c>
    </row>
    <row r="35" customFormat="false" ht="23.25" hidden="false" customHeight="true" outlineLevel="0" collapsed="false">
      <c r="A35" s="66" t="n">
        <v>33</v>
      </c>
      <c r="B35" s="66" t="s">
        <v>823</v>
      </c>
      <c r="C35" s="66" t="s">
        <v>827</v>
      </c>
      <c r="D35" s="8" t="s">
        <v>828</v>
      </c>
      <c r="E35" s="66" t="s">
        <v>829</v>
      </c>
      <c r="F35" s="8" t="s">
        <v>830</v>
      </c>
      <c r="G35" s="66" t="s">
        <v>737</v>
      </c>
      <c r="H35" s="8"/>
      <c r="I35" s="8"/>
      <c r="J35" s="66"/>
      <c r="K35" s="66"/>
      <c r="L35" s="66" t="s">
        <v>386</v>
      </c>
    </row>
    <row r="36" customFormat="false" ht="23.25" hidden="false" customHeight="true" outlineLevel="0" collapsed="false">
      <c r="A36" s="66" t="n">
        <v>34</v>
      </c>
      <c r="B36" s="66" t="s">
        <v>823</v>
      </c>
      <c r="C36" s="66" t="s">
        <v>831</v>
      </c>
      <c r="D36" s="8" t="s">
        <v>832</v>
      </c>
      <c r="E36" s="66" t="s">
        <v>833</v>
      </c>
      <c r="F36" s="8" t="s">
        <v>834</v>
      </c>
      <c r="G36" s="66" t="s">
        <v>737</v>
      </c>
      <c r="H36" s="8"/>
      <c r="I36" s="8"/>
      <c r="J36" s="66"/>
      <c r="K36" s="66"/>
      <c r="L36" s="66" t="s">
        <v>386</v>
      </c>
    </row>
    <row r="37" customFormat="false" ht="23.25" hidden="false" customHeight="true" outlineLevel="0" collapsed="false">
      <c r="A37" s="66" t="n">
        <v>35</v>
      </c>
      <c r="B37" s="66" t="s">
        <v>835</v>
      </c>
      <c r="C37" s="66" t="s">
        <v>836</v>
      </c>
      <c r="D37" s="8" t="s">
        <v>837</v>
      </c>
      <c r="E37" s="66" t="s">
        <v>714</v>
      </c>
      <c r="F37" s="8" t="s">
        <v>838</v>
      </c>
      <c r="G37" s="66" t="s">
        <v>839</v>
      </c>
      <c r="H37" s="8"/>
      <c r="I37" s="8"/>
      <c r="J37" s="66"/>
      <c r="K37" s="66"/>
      <c r="L37" s="66" t="s">
        <v>386</v>
      </c>
    </row>
    <row r="39" customFormat="false" ht="15" hidden="false" customHeight="true" outlineLevel="0" collapsed="false">
      <c r="B39" s="58" t="s">
        <v>840</v>
      </c>
      <c r="C39" s="58"/>
      <c r="D39" s="58"/>
      <c r="E39" s="58"/>
      <c r="F39" s="58"/>
      <c r="G39" s="58"/>
      <c r="H39" s="58"/>
      <c r="I39" s="58"/>
      <c r="J39" s="58"/>
      <c r="K39" s="58"/>
      <c r="L39" s="58"/>
    </row>
  </sheetData>
  <mergeCells count="2">
    <mergeCell ref="A1:K1"/>
    <mergeCell ref="B39:L39"/>
  </mergeCells>
  <conditionalFormatting sqref="J3:J37">
    <cfRule type="cellIs" priority="2" operator="equal" aboveAverage="0" equalAverage="0" bottom="0" percent="0" rank="0" text="" dxfId="3">
      <formula>"Critical"</formula>
    </cfRule>
    <cfRule type="cellIs" priority="3" operator="equal" aboveAverage="0" equalAverage="0" bottom="0" percent="0" rank="0" text="" dxfId="6">
      <formula>"High"</formula>
    </cfRule>
    <cfRule type="cellIs" priority="4" operator="equal" aboveAverage="0" equalAverage="0" bottom="0" percent="0" rank="0" text="" dxfId="7">
      <formula>"Medium"</formula>
    </cfRule>
    <cfRule type="cellIs" priority="5" operator="equal" aboveAverage="0" equalAverage="0" bottom="0" percent="0" rank="0" text="" dxfId="8">
      <formula>"Low"</formula>
    </cfRule>
    <cfRule type="cellIs" priority="6" operator="equal" aboveAverage="0" equalAverage="0" bottom="0" percent="0" rank="0" text="" dxfId="14">
      <formula>"Not Yet Applicable"</formula>
    </cfRule>
  </conditionalFormatting>
  <conditionalFormatting sqref="L3:L37">
    <cfRule type="cellIs" priority="7" operator="equal" aboveAverage="0" equalAverage="0" bottom="0" percent="0" rank="0" text="" dxfId="9">
      <formula>"Not Started"</formula>
    </cfRule>
    <cfRule type="cellIs" priority="8" operator="equal" aboveAverage="0" equalAverage="0" bottom="0" percent="0" rank="0" text="" dxfId="10">
      <formula>"In Progress"</formula>
    </cfRule>
    <cfRule type="cellIs" priority="9" operator="equal" aboveAverage="0" equalAverage="0" bottom="0" percent="0" rank="0" text="" dxfId="11">
      <formula>"Remediation Planned"</formula>
    </cfRule>
    <cfRule type="cellIs" priority="10" operator="equal" aboveAverage="0" equalAverage="0" bottom="0" percent="0" rank="0" text="" dxfId="12">
      <formula>"Complete"</formula>
    </cfRule>
    <cfRule type="cellIs" priority="11" operator="equal" aboveAverage="0" equalAverage="0" bottom="0" percent="0" rank="0" text="" dxfId="13">
      <formula>"Not Applicable"</formula>
    </cfRule>
  </conditionalFormatting>
  <dataValidations count="3">
    <dataValidation allowBlank="true" errorStyle="stop" operator="between" showDropDown="false" showErrorMessage="false" showInputMessage="false" sqref="J3:J37" type="list">
      <formula1>"Critical,High,Medium,Low,Not Yet Applicable"</formula1>
      <formula2>0</formula2>
    </dataValidation>
    <dataValidation allowBlank="true" errorStyle="stop" operator="between" showDropDown="false" showErrorMessage="false" showInputMessage="false" sqref="K3:K37" type="list">
      <formula1>"P1,P2,P3,P4"</formula1>
      <formula2>0</formula2>
    </dataValidation>
    <dataValidation allowBlank="true" errorStyle="stop" operator="between" showDropDown="false" showErrorMessage="false" showInputMessage="false" sqref="L3:L37" type="list">
      <formula1>"Not Started,In Progress,Remediation Planned,Complete,Not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18"/>
    <col collapsed="false" customWidth="true" hidden="false" outlineLevel="0" max="4" min="4" style="1" width="30"/>
    <col collapsed="false" customWidth="true" hidden="false" outlineLevel="0" max="5" min="5" style="1" width="46"/>
    <col collapsed="false" customWidth="true" hidden="false" outlineLevel="0" max="7" min="6" style="1" width="20"/>
    <col collapsed="false" customWidth="true" hidden="false" outlineLevel="0" max="8" min="8" style="1" width="12"/>
    <col collapsed="false" customWidth="true" hidden="false" outlineLevel="0" max="9" min="9" style="1" width="14"/>
  </cols>
  <sheetData>
    <row r="1" customFormat="false" ht="24" hidden="false" customHeight="true" outlineLevel="0" collapsed="false">
      <c r="A1" s="60" t="s">
        <v>841</v>
      </c>
      <c r="B1" s="60"/>
      <c r="C1" s="60"/>
      <c r="D1" s="60"/>
      <c r="E1" s="60"/>
      <c r="F1" s="60"/>
      <c r="G1" s="60"/>
      <c r="H1" s="60"/>
      <c r="I1" s="60"/>
    </row>
    <row r="2" customFormat="false" ht="30" hidden="false" customHeight="true" outlineLevel="0" collapsed="false">
      <c r="A2" s="61" t="s">
        <v>88</v>
      </c>
      <c r="B2" s="61" t="s">
        <v>842</v>
      </c>
      <c r="C2" s="61" t="s">
        <v>843</v>
      </c>
      <c r="D2" s="61" t="s">
        <v>844</v>
      </c>
      <c r="E2" s="61" t="s">
        <v>709</v>
      </c>
      <c r="F2" s="61" t="s">
        <v>473</v>
      </c>
      <c r="G2" s="61" t="s">
        <v>475</v>
      </c>
      <c r="H2" s="61" t="s">
        <v>125</v>
      </c>
      <c r="I2" s="61" t="s">
        <v>381</v>
      </c>
    </row>
    <row r="3" customFormat="false" ht="23.25" hidden="false" customHeight="true" outlineLevel="0" collapsed="false">
      <c r="A3" s="66" t="n">
        <v>1</v>
      </c>
      <c r="B3" s="66" t="s">
        <v>845</v>
      </c>
      <c r="C3" s="66" t="s">
        <v>557</v>
      </c>
      <c r="D3" s="8" t="s">
        <v>846</v>
      </c>
      <c r="E3" s="8" t="s">
        <v>847</v>
      </c>
      <c r="F3" s="8"/>
      <c r="G3" s="8"/>
      <c r="H3" s="66"/>
      <c r="I3" s="66" t="s">
        <v>386</v>
      </c>
    </row>
    <row r="4" customFormat="false" ht="23.25" hidden="false" customHeight="true" outlineLevel="0" collapsed="false">
      <c r="A4" s="66" t="n">
        <v>2</v>
      </c>
      <c r="B4" s="66" t="s">
        <v>845</v>
      </c>
      <c r="C4" s="66" t="s">
        <v>559</v>
      </c>
      <c r="D4" s="8" t="s">
        <v>848</v>
      </c>
      <c r="E4" s="8" t="s">
        <v>849</v>
      </c>
      <c r="F4" s="8"/>
      <c r="G4" s="8"/>
      <c r="H4" s="66"/>
      <c r="I4" s="66" t="s">
        <v>386</v>
      </c>
    </row>
    <row r="5" customFormat="false" ht="23.25" hidden="false" customHeight="true" outlineLevel="0" collapsed="false">
      <c r="A5" s="66" t="n">
        <v>3</v>
      </c>
      <c r="B5" s="66" t="s">
        <v>845</v>
      </c>
      <c r="C5" s="66" t="s">
        <v>563</v>
      </c>
      <c r="D5" s="8" t="s">
        <v>850</v>
      </c>
      <c r="E5" s="8" t="s">
        <v>851</v>
      </c>
      <c r="F5" s="8"/>
      <c r="G5" s="8"/>
      <c r="H5" s="66"/>
      <c r="I5" s="66" t="s">
        <v>386</v>
      </c>
    </row>
    <row r="6" customFormat="false" ht="23.25" hidden="false" customHeight="true" outlineLevel="0" collapsed="false">
      <c r="A6" s="66" t="n">
        <v>4</v>
      </c>
      <c r="B6" s="66" t="s">
        <v>845</v>
      </c>
      <c r="C6" s="66" t="s">
        <v>852</v>
      </c>
      <c r="D6" s="8" t="s">
        <v>853</v>
      </c>
      <c r="E6" s="8" t="s">
        <v>854</v>
      </c>
      <c r="F6" s="8"/>
      <c r="G6" s="8"/>
      <c r="H6" s="66"/>
      <c r="I6" s="66" t="s">
        <v>386</v>
      </c>
    </row>
    <row r="7" customFormat="false" ht="23.25" hidden="false" customHeight="true" outlineLevel="0" collapsed="false">
      <c r="A7" s="66" t="n">
        <v>5</v>
      </c>
      <c r="B7" s="66" t="s">
        <v>855</v>
      </c>
      <c r="C7" s="66" t="s">
        <v>566</v>
      </c>
      <c r="D7" s="8" t="s">
        <v>856</v>
      </c>
      <c r="E7" s="8" t="s">
        <v>857</v>
      </c>
      <c r="F7" s="8"/>
      <c r="G7" s="8"/>
      <c r="H7" s="66"/>
      <c r="I7" s="66" t="s">
        <v>386</v>
      </c>
    </row>
    <row r="8" customFormat="false" ht="23.25" hidden="false" customHeight="true" outlineLevel="0" collapsed="false">
      <c r="A8" s="66" t="n">
        <v>6</v>
      </c>
      <c r="B8" s="66" t="s">
        <v>855</v>
      </c>
      <c r="C8" s="66" t="s">
        <v>570</v>
      </c>
      <c r="D8" s="8" t="s">
        <v>858</v>
      </c>
      <c r="E8" s="8" t="s">
        <v>859</v>
      </c>
      <c r="F8" s="8"/>
      <c r="G8" s="8"/>
      <c r="H8" s="66"/>
      <c r="I8" s="66" t="s">
        <v>386</v>
      </c>
    </row>
    <row r="9" customFormat="false" ht="23.25" hidden="false" customHeight="true" outlineLevel="0" collapsed="false">
      <c r="A9" s="66" t="n">
        <v>7</v>
      </c>
      <c r="B9" s="66" t="s">
        <v>855</v>
      </c>
      <c r="C9" s="66" t="s">
        <v>860</v>
      </c>
      <c r="D9" s="8" t="s">
        <v>861</v>
      </c>
      <c r="E9" s="8" t="s">
        <v>862</v>
      </c>
      <c r="F9" s="8"/>
      <c r="G9" s="8"/>
      <c r="H9" s="66"/>
      <c r="I9" s="66" t="s">
        <v>386</v>
      </c>
    </row>
    <row r="10" customFormat="false" ht="23.25" hidden="false" customHeight="true" outlineLevel="0" collapsed="false">
      <c r="A10" s="66" t="n">
        <v>8</v>
      </c>
      <c r="B10" s="66" t="s">
        <v>863</v>
      </c>
      <c r="C10" s="66" t="s">
        <v>574</v>
      </c>
      <c r="D10" s="8" t="s">
        <v>864</v>
      </c>
      <c r="E10" s="8" t="s">
        <v>865</v>
      </c>
      <c r="F10" s="8"/>
      <c r="G10" s="8"/>
      <c r="H10" s="66"/>
      <c r="I10" s="66" t="s">
        <v>386</v>
      </c>
    </row>
    <row r="11" customFormat="false" ht="23.25" hidden="false" customHeight="true" outlineLevel="0" collapsed="false">
      <c r="A11" s="66" t="n">
        <v>9</v>
      </c>
      <c r="B11" s="66" t="s">
        <v>863</v>
      </c>
      <c r="C11" s="66" t="s">
        <v>578</v>
      </c>
      <c r="D11" s="8" t="s">
        <v>866</v>
      </c>
      <c r="E11" s="8" t="s">
        <v>867</v>
      </c>
      <c r="F11" s="8"/>
      <c r="G11" s="8"/>
      <c r="H11" s="66"/>
      <c r="I11" s="66" t="s">
        <v>386</v>
      </c>
    </row>
    <row r="12" customFormat="false" ht="15" hidden="false" customHeight="true" outlineLevel="0" collapsed="false">
      <c r="A12" s="66" t="n">
        <v>10</v>
      </c>
      <c r="B12" s="66" t="s">
        <v>863</v>
      </c>
      <c r="C12" s="66" t="s">
        <v>868</v>
      </c>
      <c r="D12" s="8" t="s">
        <v>869</v>
      </c>
      <c r="E12" s="8" t="s">
        <v>870</v>
      </c>
      <c r="F12" s="8"/>
      <c r="G12" s="8"/>
      <c r="H12" s="66"/>
      <c r="I12" s="66" t="s">
        <v>386</v>
      </c>
    </row>
    <row r="13" customFormat="false" ht="15" hidden="false" customHeight="true" outlineLevel="0" collapsed="false">
      <c r="A13" s="66" t="n">
        <v>11</v>
      </c>
      <c r="B13" s="66" t="s">
        <v>871</v>
      </c>
      <c r="C13" s="66" t="s">
        <v>872</v>
      </c>
      <c r="D13" s="8" t="s">
        <v>873</v>
      </c>
      <c r="E13" s="8" t="s">
        <v>874</v>
      </c>
      <c r="F13" s="8"/>
      <c r="G13" s="8"/>
      <c r="H13" s="66"/>
      <c r="I13" s="66" t="s">
        <v>386</v>
      </c>
    </row>
    <row r="14" customFormat="false" ht="23.25" hidden="false" customHeight="true" outlineLevel="0" collapsed="false">
      <c r="A14" s="66" t="n">
        <v>12</v>
      </c>
      <c r="B14" s="66" t="s">
        <v>871</v>
      </c>
      <c r="C14" s="66" t="s">
        <v>875</v>
      </c>
      <c r="D14" s="8" t="s">
        <v>876</v>
      </c>
      <c r="E14" s="8" t="s">
        <v>877</v>
      </c>
      <c r="F14" s="8"/>
      <c r="G14" s="8"/>
      <c r="H14" s="66"/>
      <c r="I14" s="66" t="s">
        <v>386</v>
      </c>
    </row>
    <row r="15" customFormat="false" ht="23.25" hidden="false" customHeight="true" outlineLevel="0" collapsed="false">
      <c r="A15" s="66" t="n">
        <v>13</v>
      </c>
      <c r="B15" s="66" t="s">
        <v>871</v>
      </c>
      <c r="C15" s="66" t="s">
        <v>878</v>
      </c>
      <c r="D15" s="8" t="s">
        <v>879</v>
      </c>
      <c r="E15" s="8" t="s">
        <v>880</v>
      </c>
      <c r="F15" s="8"/>
      <c r="G15" s="8"/>
      <c r="H15" s="66"/>
      <c r="I15" s="66" t="s">
        <v>386</v>
      </c>
    </row>
    <row r="16" customFormat="false" ht="23.25" hidden="false" customHeight="true" outlineLevel="0" collapsed="false">
      <c r="A16" s="66" t="n">
        <v>14</v>
      </c>
      <c r="B16" s="66" t="s">
        <v>871</v>
      </c>
      <c r="C16" s="66" t="s">
        <v>881</v>
      </c>
      <c r="D16" s="8" t="s">
        <v>882</v>
      </c>
      <c r="E16" s="8" t="s">
        <v>883</v>
      </c>
      <c r="F16" s="8"/>
      <c r="G16" s="8"/>
      <c r="H16" s="66"/>
      <c r="I16" s="66" t="s">
        <v>386</v>
      </c>
    </row>
    <row r="17" customFormat="false" ht="23.25" hidden="false" customHeight="true" outlineLevel="0" collapsed="false">
      <c r="A17" s="66" t="n">
        <v>15</v>
      </c>
      <c r="B17" s="66" t="s">
        <v>871</v>
      </c>
      <c r="C17" s="66" t="s">
        <v>884</v>
      </c>
      <c r="D17" s="8" t="s">
        <v>885</v>
      </c>
      <c r="E17" s="8" t="s">
        <v>886</v>
      </c>
      <c r="F17" s="8"/>
      <c r="G17" s="8"/>
      <c r="H17" s="66"/>
      <c r="I17" s="66" t="s">
        <v>386</v>
      </c>
    </row>
    <row r="18" customFormat="false" ht="23.25" hidden="false" customHeight="true" outlineLevel="0" collapsed="false">
      <c r="A18" s="66" t="n">
        <v>16</v>
      </c>
      <c r="B18" s="66" t="s">
        <v>887</v>
      </c>
      <c r="C18" s="66" t="s">
        <v>888</v>
      </c>
      <c r="D18" s="8" t="s">
        <v>889</v>
      </c>
      <c r="E18" s="8" t="s">
        <v>890</v>
      </c>
      <c r="F18" s="8"/>
      <c r="G18" s="8"/>
      <c r="H18" s="66"/>
      <c r="I18" s="66" t="s">
        <v>386</v>
      </c>
    </row>
    <row r="19" customFormat="false" ht="23.25" hidden="false" customHeight="true" outlineLevel="0" collapsed="false">
      <c r="A19" s="66" t="n">
        <v>17</v>
      </c>
      <c r="B19" s="66" t="s">
        <v>887</v>
      </c>
      <c r="C19" s="66" t="s">
        <v>891</v>
      </c>
      <c r="D19" s="8" t="s">
        <v>892</v>
      </c>
      <c r="E19" s="8" t="s">
        <v>893</v>
      </c>
      <c r="F19" s="8"/>
      <c r="G19" s="8"/>
      <c r="H19" s="66"/>
      <c r="I19" s="66" t="s">
        <v>386</v>
      </c>
    </row>
    <row r="20" customFormat="false" ht="23.25" hidden="false" customHeight="true" outlineLevel="0" collapsed="false">
      <c r="A20" s="66" t="n">
        <v>18</v>
      </c>
      <c r="B20" s="66" t="s">
        <v>887</v>
      </c>
      <c r="C20" s="66" t="s">
        <v>894</v>
      </c>
      <c r="D20" s="8" t="s">
        <v>895</v>
      </c>
      <c r="E20" s="8" t="s">
        <v>896</v>
      </c>
      <c r="F20" s="8"/>
      <c r="G20" s="8"/>
      <c r="H20" s="66"/>
      <c r="I20" s="66" t="s">
        <v>386</v>
      </c>
    </row>
    <row r="21" customFormat="false" ht="23.25" hidden="false" customHeight="true" outlineLevel="0" collapsed="false">
      <c r="A21" s="66" t="n">
        <v>19</v>
      </c>
      <c r="B21" s="66" t="s">
        <v>887</v>
      </c>
      <c r="C21" s="66" t="s">
        <v>897</v>
      </c>
      <c r="D21" s="8" t="s">
        <v>898</v>
      </c>
      <c r="E21" s="8" t="s">
        <v>899</v>
      </c>
      <c r="F21" s="8"/>
      <c r="G21" s="8"/>
      <c r="H21" s="66"/>
      <c r="I21" s="66" t="s">
        <v>386</v>
      </c>
    </row>
    <row r="22" customFormat="false" ht="23.25" hidden="false" customHeight="true" outlineLevel="0" collapsed="false">
      <c r="A22" s="66" t="n">
        <v>20</v>
      </c>
      <c r="B22" s="66" t="s">
        <v>900</v>
      </c>
      <c r="C22" s="66" t="s">
        <v>901</v>
      </c>
      <c r="D22" s="8" t="s">
        <v>902</v>
      </c>
      <c r="E22" s="8" t="s">
        <v>903</v>
      </c>
      <c r="F22" s="8"/>
      <c r="G22" s="8"/>
      <c r="H22" s="66"/>
      <c r="I22" s="66" t="s">
        <v>386</v>
      </c>
    </row>
    <row r="23" customFormat="false" ht="15" hidden="false" customHeight="true" outlineLevel="0" collapsed="false">
      <c r="A23" s="66" t="n">
        <v>21</v>
      </c>
      <c r="B23" s="66" t="s">
        <v>900</v>
      </c>
      <c r="C23" s="66" t="s">
        <v>904</v>
      </c>
      <c r="D23" s="8" t="s">
        <v>905</v>
      </c>
      <c r="E23" s="8" t="s">
        <v>906</v>
      </c>
      <c r="F23" s="8"/>
      <c r="G23" s="8"/>
      <c r="H23" s="66"/>
      <c r="I23" s="66" t="s">
        <v>386</v>
      </c>
    </row>
    <row r="24" customFormat="false" ht="23.25" hidden="false" customHeight="true" outlineLevel="0" collapsed="false">
      <c r="A24" s="66" t="n">
        <v>22</v>
      </c>
      <c r="B24" s="66" t="s">
        <v>900</v>
      </c>
      <c r="C24" s="66" t="s">
        <v>907</v>
      </c>
      <c r="D24" s="8" t="s">
        <v>908</v>
      </c>
      <c r="E24" s="8" t="s">
        <v>909</v>
      </c>
      <c r="F24" s="8"/>
      <c r="G24" s="8"/>
      <c r="H24" s="66"/>
      <c r="I24" s="66" t="s">
        <v>386</v>
      </c>
    </row>
    <row r="25" customFormat="false" ht="23.25" hidden="false" customHeight="true" outlineLevel="0" collapsed="false">
      <c r="A25" s="66" t="n">
        <v>23</v>
      </c>
      <c r="B25" s="66" t="s">
        <v>910</v>
      </c>
      <c r="C25" s="66" t="s">
        <v>911</v>
      </c>
      <c r="D25" s="8" t="s">
        <v>912</v>
      </c>
      <c r="E25" s="8" t="s">
        <v>913</v>
      </c>
      <c r="F25" s="8"/>
      <c r="G25" s="8"/>
      <c r="H25" s="66"/>
      <c r="I25" s="66" t="s">
        <v>386</v>
      </c>
    </row>
    <row r="26" customFormat="false" ht="15" hidden="false" customHeight="true" outlineLevel="0" collapsed="false">
      <c r="A26" s="66" t="n">
        <v>24</v>
      </c>
      <c r="B26" s="66" t="s">
        <v>910</v>
      </c>
      <c r="C26" s="66" t="s">
        <v>914</v>
      </c>
      <c r="D26" s="8" t="s">
        <v>915</v>
      </c>
      <c r="E26" s="8" t="s">
        <v>916</v>
      </c>
      <c r="F26" s="8"/>
      <c r="G26" s="8"/>
      <c r="H26" s="66"/>
      <c r="I26" s="66" t="s">
        <v>386</v>
      </c>
    </row>
    <row r="27" customFormat="false" ht="23.25" hidden="false" customHeight="true" outlineLevel="0" collapsed="false">
      <c r="A27" s="66" t="n">
        <v>25</v>
      </c>
      <c r="B27" s="66" t="s">
        <v>917</v>
      </c>
      <c r="C27" s="66" t="s">
        <v>918</v>
      </c>
      <c r="D27" s="8" t="s">
        <v>919</v>
      </c>
      <c r="E27" s="8" t="s">
        <v>920</v>
      </c>
      <c r="F27" s="8"/>
      <c r="G27" s="8"/>
      <c r="H27" s="66"/>
      <c r="I27" s="66" t="s">
        <v>386</v>
      </c>
    </row>
    <row r="28" customFormat="false" ht="23.25" hidden="false" customHeight="true" outlineLevel="0" collapsed="false">
      <c r="A28" s="66" t="n">
        <v>26</v>
      </c>
      <c r="B28" s="66" t="s">
        <v>921</v>
      </c>
      <c r="C28" s="66" t="s">
        <v>922</v>
      </c>
      <c r="D28" s="8" t="s">
        <v>923</v>
      </c>
      <c r="E28" s="8" t="s">
        <v>924</v>
      </c>
      <c r="F28" s="8"/>
      <c r="G28" s="8"/>
      <c r="H28" s="66"/>
      <c r="I28" s="66" t="s">
        <v>386</v>
      </c>
    </row>
    <row r="29" customFormat="false" ht="23.25" hidden="false" customHeight="true" outlineLevel="0" collapsed="false">
      <c r="A29" s="66" t="n">
        <v>27</v>
      </c>
      <c r="B29" s="66" t="s">
        <v>925</v>
      </c>
      <c r="C29" s="66" t="s">
        <v>926</v>
      </c>
      <c r="D29" s="8" t="s">
        <v>927</v>
      </c>
      <c r="E29" s="8" t="s">
        <v>928</v>
      </c>
      <c r="F29" s="8"/>
      <c r="G29" s="8"/>
      <c r="H29" s="66"/>
      <c r="I29" s="66" t="s">
        <v>386</v>
      </c>
    </row>
    <row r="30" customFormat="false" ht="23.25" hidden="false" customHeight="true" outlineLevel="0" collapsed="false">
      <c r="A30" s="66" t="n">
        <v>28</v>
      </c>
      <c r="B30" s="66" t="s">
        <v>929</v>
      </c>
      <c r="C30" s="66" t="s">
        <v>930</v>
      </c>
      <c r="D30" s="8" t="s">
        <v>931</v>
      </c>
      <c r="E30" s="8" t="s">
        <v>932</v>
      </c>
      <c r="F30" s="8"/>
      <c r="G30" s="8"/>
      <c r="H30" s="66"/>
      <c r="I30" s="66" t="s">
        <v>386</v>
      </c>
    </row>
    <row r="31" customFormat="false" ht="34.5" hidden="false" customHeight="true" outlineLevel="0" collapsed="false">
      <c r="A31" s="66" t="n">
        <v>29</v>
      </c>
      <c r="B31" s="66" t="s">
        <v>933</v>
      </c>
      <c r="C31" s="66" t="s">
        <v>934</v>
      </c>
      <c r="D31" s="8" t="s">
        <v>935</v>
      </c>
      <c r="E31" s="8" t="s">
        <v>936</v>
      </c>
      <c r="F31" s="8"/>
      <c r="G31" s="8"/>
      <c r="H31" s="66"/>
      <c r="I31" s="66" t="s">
        <v>386</v>
      </c>
    </row>
    <row r="32" customFormat="false" ht="23.25" hidden="false" customHeight="true" outlineLevel="0" collapsed="false">
      <c r="A32" s="66" t="n">
        <v>30</v>
      </c>
      <c r="B32" s="66" t="s">
        <v>937</v>
      </c>
      <c r="C32" s="66" t="s">
        <v>938</v>
      </c>
      <c r="D32" s="8" t="s">
        <v>895</v>
      </c>
      <c r="E32" s="8" t="s">
        <v>939</v>
      </c>
      <c r="F32" s="8"/>
      <c r="G32" s="8"/>
      <c r="H32" s="66"/>
      <c r="I32" s="66" t="s">
        <v>386</v>
      </c>
    </row>
    <row r="33" customFormat="false" ht="23.25" hidden="false" customHeight="true" outlineLevel="0" collapsed="false">
      <c r="A33" s="66" t="n">
        <v>31</v>
      </c>
      <c r="B33" s="66" t="s">
        <v>940</v>
      </c>
      <c r="C33" s="66" t="s">
        <v>941</v>
      </c>
      <c r="D33" s="8" t="s">
        <v>942</v>
      </c>
      <c r="E33" s="8" t="s">
        <v>943</v>
      </c>
      <c r="F33" s="8"/>
      <c r="G33" s="8"/>
      <c r="H33" s="66"/>
      <c r="I33" s="66" t="s">
        <v>386</v>
      </c>
    </row>
    <row r="34" customFormat="false" ht="23.25" hidden="false" customHeight="true" outlineLevel="0" collapsed="false">
      <c r="A34" s="66" t="n">
        <v>32</v>
      </c>
      <c r="B34" s="66" t="s">
        <v>944</v>
      </c>
      <c r="C34" s="66" t="s">
        <v>945</v>
      </c>
      <c r="D34" s="8" t="s">
        <v>946</v>
      </c>
      <c r="E34" s="8" t="s">
        <v>947</v>
      </c>
      <c r="F34" s="8"/>
      <c r="G34" s="8"/>
      <c r="H34" s="66"/>
      <c r="I34" s="66" t="s">
        <v>386</v>
      </c>
    </row>
    <row r="35" customFormat="false" ht="23.25" hidden="false" customHeight="true" outlineLevel="0" collapsed="false">
      <c r="A35" s="66" t="n">
        <v>33</v>
      </c>
      <c r="B35" s="66" t="s">
        <v>948</v>
      </c>
      <c r="C35" s="66" t="s">
        <v>949</v>
      </c>
      <c r="D35" s="8" t="s">
        <v>950</v>
      </c>
      <c r="E35" s="8" t="s">
        <v>951</v>
      </c>
      <c r="F35" s="8"/>
      <c r="G35" s="8"/>
      <c r="H35" s="66"/>
      <c r="I35" s="66" t="s">
        <v>386</v>
      </c>
    </row>
    <row r="37" customFormat="false" ht="15" hidden="false" customHeight="true" outlineLevel="0" collapsed="false">
      <c r="B37" s="58" t="s">
        <v>952</v>
      </c>
      <c r="C37" s="58"/>
      <c r="D37" s="58"/>
      <c r="E37" s="58"/>
      <c r="F37" s="58"/>
      <c r="G37" s="58"/>
      <c r="H37" s="58"/>
      <c r="I37" s="58"/>
    </row>
  </sheetData>
  <mergeCells count="2">
    <mergeCell ref="A1:I1"/>
    <mergeCell ref="B37:I37"/>
  </mergeCells>
  <conditionalFormatting sqref="H3:H35">
    <cfRule type="cellIs" priority="2" operator="equal" aboveAverage="0" equalAverage="0" bottom="0" percent="0" rank="0" text="" dxfId="3">
      <formula>"Critical"</formula>
    </cfRule>
    <cfRule type="cellIs" priority="3" operator="equal" aboveAverage="0" equalAverage="0" bottom="0" percent="0" rank="0" text="" dxfId="6">
      <formula>"High"</formula>
    </cfRule>
    <cfRule type="cellIs" priority="4" operator="equal" aboveAverage="0" equalAverage="0" bottom="0" percent="0" rank="0" text="" dxfId="7">
      <formula>"Medium"</formula>
    </cfRule>
    <cfRule type="cellIs" priority="5" operator="equal" aboveAverage="0" equalAverage="0" bottom="0" percent="0" rank="0" text="" dxfId="8">
      <formula>"Low"</formula>
    </cfRule>
  </conditionalFormatting>
  <conditionalFormatting sqref="I3:I35">
    <cfRule type="cellIs" priority="6" operator="equal" aboveAverage="0" equalAverage="0" bottom="0" percent="0" rank="0" text="" dxfId="9">
      <formula>"Not Started"</formula>
    </cfRule>
    <cfRule type="cellIs" priority="7" operator="equal" aboveAverage="0" equalAverage="0" bottom="0" percent="0" rank="0" text="" dxfId="10">
      <formula>"In Progress"</formula>
    </cfRule>
    <cfRule type="cellIs" priority="8" operator="equal" aboveAverage="0" equalAverage="0" bottom="0" percent="0" rank="0" text="" dxfId="11">
      <formula>"Remediation Planned"</formula>
    </cfRule>
    <cfRule type="cellIs" priority="9" operator="equal" aboveAverage="0" equalAverage="0" bottom="0" percent="0" rank="0" text="" dxfId="12">
      <formula>"Complete"</formula>
    </cfRule>
    <cfRule type="cellIs" priority="10" operator="equal" aboveAverage="0" equalAverage="0" bottom="0" percent="0" rank="0" text="" dxfId="13">
      <formula>"Not Applicable"</formula>
    </cfRule>
  </conditionalFormatting>
  <dataValidations count="2">
    <dataValidation allowBlank="true" errorStyle="stop" operator="between" showDropDown="false" showErrorMessage="false" showInputMessage="false" sqref="H3:H35" type="list">
      <formula1>"Critical,High,Medium,Low"</formula1>
      <formula2>0</formula2>
    </dataValidation>
    <dataValidation allowBlank="true" errorStyle="stop" operator="between" showDropDown="false" showErrorMessage="false" showInputMessage="false" sqref="I3:I35" type="list">
      <formula1>"Not Started,In Progress,Remediation Planned,Complete,Not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10"/>
    <col collapsed="false" customWidth="true" hidden="false" outlineLevel="0" max="4" min="4" style="1" width="8"/>
    <col collapsed="false" customWidth="true" hidden="false" outlineLevel="0" max="5" min="5" style="1" width="14"/>
    <col collapsed="false" customWidth="true" hidden="false" outlineLevel="0" max="6" min="6" style="1" width="50"/>
    <col collapsed="false" customWidth="true" hidden="false" outlineLevel="0" max="7" min="7" style="1" width="24"/>
    <col collapsed="false" customWidth="true" hidden="false" outlineLevel="0" max="8" min="8" style="1" width="26"/>
    <col collapsed="false" customWidth="true" hidden="false" outlineLevel="0" max="9" min="9" style="1" width="10"/>
    <col collapsed="false" customWidth="true" hidden="false" outlineLevel="0" max="11" min="10" style="1" width="26"/>
  </cols>
  <sheetData>
    <row r="1" customFormat="false" ht="24" hidden="false" customHeight="true" outlineLevel="0" collapsed="false">
      <c r="A1" s="60" t="s">
        <v>953</v>
      </c>
      <c r="B1" s="60"/>
      <c r="C1" s="60"/>
      <c r="D1" s="60"/>
      <c r="E1" s="60"/>
      <c r="F1" s="60"/>
      <c r="G1" s="60"/>
      <c r="H1" s="60"/>
      <c r="I1" s="60"/>
      <c r="J1" s="60"/>
      <c r="K1" s="60"/>
    </row>
    <row r="2" customFormat="false" ht="27.75" hidden="false" customHeight="true" outlineLevel="0" collapsed="false">
      <c r="A2" s="61" t="s">
        <v>88</v>
      </c>
      <c r="B2" s="61" t="s">
        <v>111</v>
      </c>
      <c r="C2" s="61" t="s">
        <v>954</v>
      </c>
      <c r="D2" s="61" t="s">
        <v>955</v>
      </c>
      <c r="E2" s="61" t="s">
        <v>956</v>
      </c>
      <c r="F2" s="61" t="s">
        <v>957</v>
      </c>
      <c r="G2" s="61" t="s">
        <v>958</v>
      </c>
      <c r="H2" s="61" t="s">
        <v>959</v>
      </c>
      <c r="I2" s="61" t="s">
        <v>960</v>
      </c>
      <c r="J2" s="61" t="s">
        <v>961</v>
      </c>
      <c r="K2" s="61" t="s">
        <v>962</v>
      </c>
    </row>
    <row r="3" customFormat="false" ht="34.5" hidden="false" customHeight="true" outlineLevel="0" collapsed="false">
      <c r="A3" s="66" t="n">
        <v>1</v>
      </c>
      <c r="B3" s="66" t="s">
        <v>114</v>
      </c>
      <c r="C3" s="66" t="s">
        <v>477</v>
      </c>
      <c r="D3" s="66" t="s">
        <v>478</v>
      </c>
      <c r="E3" s="66" t="s">
        <v>963</v>
      </c>
      <c r="F3" s="8" t="s">
        <v>964</v>
      </c>
      <c r="G3" s="66" t="s">
        <v>480</v>
      </c>
      <c r="H3" s="66" t="s">
        <v>481</v>
      </c>
      <c r="I3" s="66"/>
      <c r="J3" s="8"/>
      <c r="K3" s="8"/>
    </row>
    <row r="4" customFormat="false" ht="45.75" hidden="false" customHeight="true" outlineLevel="0" collapsed="false">
      <c r="A4" s="66" t="n">
        <v>2</v>
      </c>
      <c r="B4" s="66" t="s">
        <v>114</v>
      </c>
      <c r="C4" s="66" t="s">
        <v>477</v>
      </c>
      <c r="D4" s="66" t="s">
        <v>478</v>
      </c>
      <c r="E4" s="66" t="s">
        <v>965</v>
      </c>
      <c r="F4" s="8" t="s">
        <v>966</v>
      </c>
      <c r="G4" s="66" t="s">
        <v>480</v>
      </c>
      <c r="H4" s="66" t="s">
        <v>481</v>
      </c>
      <c r="I4" s="66"/>
      <c r="J4" s="8"/>
      <c r="K4" s="8"/>
    </row>
    <row r="5" customFormat="false" ht="45.75" hidden="false" customHeight="true" outlineLevel="0" collapsed="false">
      <c r="A5" s="66" t="n">
        <v>3</v>
      </c>
      <c r="B5" s="66" t="s">
        <v>114</v>
      </c>
      <c r="C5" s="66" t="s">
        <v>477</v>
      </c>
      <c r="D5" s="66" t="s">
        <v>489</v>
      </c>
      <c r="E5" s="66" t="s">
        <v>963</v>
      </c>
      <c r="F5" s="8" t="s">
        <v>967</v>
      </c>
      <c r="G5" s="66" t="s">
        <v>491</v>
      </c>
      <c r="H5" s="66" t="s">
        <v>492</v>
      </c>
      <c r="I5" s="66"/>
      <c r="J5" s="8"/>
      <c r="K5" s="8"/>
    </row>
    <row r="6" customFormat="false" ht="45.75" hidden="false" customHeight="true" outlineLevel="0" collapsed="false">
      <c r="A6" s="66" t="n">
        <v>4</v>
      </c>
      <c r="B6" s="66" t="s">
        <v>114</v>
      </c>
      <c r="C6" s="66" t="s">
        <v>477</v>
      </c>
      <c r="D6" s="66" t="s">
        <v>489</v>
      </c>
      <c r="E6" s="66" t="s">
        <v>965</v>
      </c>
      <c r="F6" s="8" t="s">
        <v>968</v>
      </c>
      <c r="G6" s="66" t="s">
        <v>491</v>
      </c>
      <c r="H6" s="66" t="s">
        <v>492</v>
      </c>
      <c r="I6" s="66"/>
      <c r="J6" s="8"/>
      <c r="K6" s="8"/>
    </row>
    <row r="7" customFormat="false" ht="45.75" hidden="false" customHeight="true" outlineLevel="0" collapsed="false">
      <c r="A7" s="66" t="n">
        <v>5</v>
      </c>
      <c r="B7" s="66" t="s">
        <v>114</v>
      </c>
      <c r="C7" s="66" t="s">
        <v>477</v>
      </c>
      <c r="D7" s="66" t="s">
        <v>499</v>
      </c>
      <c r="E7" s="66" t="s">
        <v>963</v>
      </c>
      <c r="F7" s="8" t="s">
        <v>969</v>
      </c>
      <c r="G7" s="66" t="s">
        <v>501</v>
      </c>
      <c r="H7" s="66" t="s">
        <v>492</v>
      </c>
      <c r="I7" s="66"/>
      <c r="J7" s="8"/>
      <c r="K7" s="8"/>
    </row>
    <row r="8" customFormat="false" ht="45.75" hidden="false" customHeight="true" outlineLevel="0" collapsed="false">
      <c r="A8" s="66" t="n">
        <v>6</v>
      </c>
      <c r="B8" s="66" t="s">
        <v>114</v>
      </c>
      <c r="C8" s="66" t="s">
        <v>477</v>
      </c>
      <c r="D8" s="66" t="s">
        <v>499</v>
      </c>
      <c r="E8" s="66" t="s">
        <v>965</v>
      </c>
      <c r="F8" s="8" t="s">
        <v>970</v>
      </c>
      <c r="G8" s="66" t="s">
        <v>501</v>
      </c>
      <c r="H8" s="66" t="s">
        <v>492</v>
      </c>
      <c r="I8" s="66"/>
      <c r="J8" s="8"/>
      <c r="K8" s="8"/>
    </row>
    <row r="9" customFormat="false" ht="45.75" hidden="false" customHeight="true" outlineLevel="0" collapsed="false">
      <c r="A9" s="66" t="n">
        <v>7</v>
      </c>
      <c r="B9" s="66" t="s">
        <v>114</v>
      </c>
      <c r="C9" s="66" t="s">
        <v>477</v>
      </c>
      <c r="D9" s="66" t="s">
        <v>508</v>
      </c>
      <c r="E9" s="66" t="s">
        <v>963</v>
      </c>
      <c r="F9" s="8" t="s">
        <v>971</v>
      </c>
      <c r="G9" s="66" t="s">
        <v>510</v>
      </c>
      <c r="H9" s="66" t="s">
        <v>511</v>
      </c>
      <c r="I9" s="66"/>
      <c r="J9" s="8"/>
      <c r="K9" s="8"/>
    </row>
    <row r="10" customFormat="false" ht="45.75" hidden="false" customHeight="true" outlineLevel="0" collapsed="false">
      <c r="A10" s="66" t="n">
        <v>8</v>
      </c>
      <c r="B10" s="66" t="s">
        <v>114</v>
      </c>
      <c r="C10" s="66" t="s">
        <v>477</v>
      </c>
      <c r="D10" s="66" t="s">
        <v>508</v>
      </c>
      <c r="E10" s="66" t="s">
        <v>965</v>
      </c>
      <c r="F10" s="8" t="s">
        <v>972</v>
      </c>
      <c r="G10" s="66" t="s">
        <v>510</v>
      </c>
      <c r="H10" s="66" t="s">
        <v>511</v>
      </c>
      <c r="I10" s="66"/>
      <c r="J10" s="8"/>
      <c r="K10" s="8"/>
    </row>
    <row r="11" customFormat="false" ht="34.5" hidden="false" customHeight="true" outlineLevel="0" collapsed="false">
      <c r="A11" s="66" t="n">
        <v>9</v>
      </c>
      <c r="B11" s="66" t="s">
        <v>114</v>
      </c>
      <c r="C11" s="66" t="s">
        <v>477</v>
      </c>
      <c r="D11" s="66" t="s">
        <v>517</v>
      </c>
      <c r="E11" s="66" t="s">
        <v>963</v>
      </c>
      <c r="F11" s="8" t="s">
        <v>973</v>
      </c>
      <c r="G11" s="66" t="s">
        <v>519</v>
      </c>
      <c r="H11" s="66" t="s">
        <v>520</v>
      </c>
      <c r="I11" s="66"/>
      <c r="J11" s="8"/>
      <c r="K11" s="8"/>
    </row>
    <row r="12" customFormat="false" ht="45.75" hidden="false" customHeight="true" outlineLevel="0" collapsed="false">
      <c r="A12" s="66" t="n">
        <v>10</v>
      </c>
      <c r="B12" s="66" t="s">
        <v>114</v>
      </c>
      <c r="C12" s="66" t="s">
        <v>477</v>
      </c>
      <c r="D12" s="66" t="s">
        <v>517</v>
      </c>
      <c r="E12" s="66" t="s">
        <v>965</v>
      </c>
      <c r="F12" s="8" t="s">
        <v>974</v>
      </c>
      <c r="G12" s="66" t="s">
        <v>519</v>
      </c>
      <c r="H12" s="66" t="s">
        <v>520</v>
      </c>
      <c r="I12" s="66"/>
      <c r="J12" s="8"/>
      <c r="K12" s="8"/>
    </row>
    <row r="13" customFormat="false" ht="34.5" hidden="false" customHeight="true" outlineLevel="0" collapsed="false">
      <c r="A13" s="66" t="n">
        <v>11</v>
      </c>
      <c r="B13" s="66" t="s">
        <v>114</v>
      </c>
      <c r="C13" s="66" t="s">
        <v>477</v>
      </c>
      <c r="D13" s="66" t="s">
        <v>525</v>
      </c>
      <c r="E13" s="66" t="s">
        <v>963</v>
      </c>
      <c r="F13" s="8" t="s">
        <v>975</v>
      </c>
      <c r="G13" s="66" t="s">
        <v>527</v>
      </c>
      <c r="H13" s="66" t="s">
        <v>528</v>
      </c>
      <c r="I13" s="66"/>
      <c r="J13" s="8"/>
      <c r="K13" s="8"/>
    </row>
    <row r="14" customFormat="false" ht="45.75" hidden="false" customHeight="true" outlineLevel="0" collapsed="false">
      <c r="A14" s="66" t="n">
        <v>12</v>
      </c>
      <c r="B14" s="66" t="s">
        <v>114</v>
      </c>
      <c r="C14" s="66" t="s">
        <v>477</v>
      </c>
      <c r="D14" s="66" t="s">
        <v>525</v>
      </c>
      <c r="E14" s="66" t="s">
        <v>965</v>
      </c>
      <c r="F14" s="8" t="s">
        <v>976</v>
      </c>
      <c r="G14" s="66" t="s">
        <v>527</v>
      </c>
      <c r="H14" s="66" t="s">
        <v>528</v>
      </c>
      <c r="I14" s="66"/>
      <c r="J14" s="8"/>
      <c r="K14" s="8"/>
    </row>
    <row r="15" customFormat="false" ht="34.5" hidden="false" customHeight="true" outlineLevel="0" collapsed="false">
      <c r="A15" s="66" t="n">
        <v>13</v>
      </c>
      <c r="B15" s="66" t="s">
        <v>114</v>
      </c>
      <c r="C15" s="66" t="s">
        <v>477</v>
      </c>
      <c r="D15" s="66" t="s">
        <v>533</v>
      </c>
      <c r="E15" s="66" t="s">
        <v>963</v>
      </c>
      <c r="F15" s="8" t="s">
        <v>977</v>
      </c>
      <c r="G15" s="66" t="s">
        <v>535</v>
      </c>
      <c r="H15" s="66" t="s">
        <v>536</v>
      </c>
      <c r="I15" s="66"/>
      <c r="J15" s="8"/>
      <c r="K15" s="8"/>
    </row>
    <row r="16" customFormat="false" ht="45.75" hidden="false" customHeight="true" outlineLevel="0" collapsed="false">
      <c r="A16" s="66" t="n">
        <v>14</v>
      </c>
      <c r="B16" s="66" t="s">
        <v>114</v>
      </c>
      <c r="C16" s="66" t="s">
        <v>477</v>
      </c>
      <c r="D16" s="66" t="s">
        <v>533</v>
      </c>
      <c r="E16" s="66" t="s">
        <v>965</v>
      </c>
      <c r="F16" s="8" t="s">
        <v>978</v>
      </c>
      <c r="G16" s="66" t="s">
        <v>535</v>
      </c>
      <c r="H16" s="66" t="s">
        <v>536</v>
      </c>
      <c r="I16" s="66"/>
      <c r="J16" s="8"/>
      <c r="K16" s="8"/>
    </row>
    <row r="17" customFormat="false" ht="45.75" hidden="false" customHeight="true" outlineLevel="0" collapsed="false">
      <c r="A17" s="66" t="n">
        <v>15</v>
      </c>
      <c r="B17" s="66" t="s">
        <v>114</v>
      </c>
      <c r="C17" s="66" t="s">
        <v>477</v>
      </c>
      <c r="D17" s="66" t="s">
        <v>537</v>
      </c>
      <c r="E17" s="66" t="s">
        <v>963</v>
      </c>
      <c r="F17" s="8" t="s">
        <v>979</v>
      </c>
      <c r="G17" s="66" t="s">
        <v>539</v>
      </c>
      <c r="H17" s="66" t="s">
        <v>540</v>
      </c>
      <c r="I17" s="66"/>
      <c r="J17" s="8"/>
      <c r="K17" s="8"/>
    </row>
    <row r="18" customFormat="false" ht="45.75" hidden="false" customHeight="true" outlineLevel="0" collapsed="false">
      <c r="A18" s="66" t="n">
        <v>16</v>
      </c>
      <c r="B18" s="66" t="s">
        <v>114</v>
      </c>
      <c r="C18" s="66" t="s">
        <v>477</v>
      </c>
      <c r="D18" s="66" t="s">
        <v>537</v>
      </c>
      <c r="E18" s="66" t="s">
        <v>965</v>
      </c>
      <c r="F18" s="8" t="s">
        <v>980</v>
      </c>
      <c r="G18" s="66" t="s">
        <v>539</v>
      </c>
      <c r="H18" s="66" t="s">
        <v>540</v>
      </c>
      <c r="I18" s="66"/>
      <c r="J18" s="8"/>
      <c r="K18" s="8"/>
    </row>
    <row r="19" customFormat="false" ht="34.5" hidden="false" customHeight="true" outlineLevel="0" collapsed="false">
      <c r="A19" s="66" t="n">
        <v>17</v>
      </c>
      <c r="B19" s="66" t="s">
        <v>114</v>
      </c>
      <c r="C19" s="66" t="s">
        <v>477</v>
      </c>
      <c r="D19" s="66" t="s">
        <v>541</v>
      </c>
      <c r="E19" s="66" t="s">
        <v>963</v>
      </c>
      <c r="F19" s="8" t="s">
        <v>981</v>
      </c>
      <c r="G19" s="66" t="s">
        <v>543</v>
      </c>
      <c r="H19" s="66" t="s">
        <v>544</v>
      </c>
      <c r="I19" s="66"/>
      <c r="J19" s="8"/>
      <c r="K19" s="8"/>
    </row>
    <row r="20" customFormat="false" ht="45.75" hidden="false" customHeight="true" outlineLevel="0" collapsed="false">
      <c r="A20" s="66" t="n">
        <v>18</v>
      </c>
      <c r="B20" s="66" t="s">
        <v>114</v>
      </c>
      <c r="C20" s="66" t="s">
        <v>477</v>
      </c>
      <c r="D20" s="66" t="s">
        <v>541</v>
      </c>
      <c r="E20" s="66" t="s">
        <v>965</v>
      </c>
      <c r="F20" s="8" t="s">
        <v>982</v>
      </c>
      <c r="G20" s="66" t="s">
        <v>543</v>
      </c>
      <c r="H20" s="66" t="s">
        <v>544</v>
      </c>
      <c r="I20" s="66"/>
      <c r="J20" s="8"/>
      <c r="K20" s="8"/>
    </row>
    <row r="21" customFormat="false" ht="34.5" hidden="false" customHeight="true" outlineLevel="0" collapsed="false">
      <c r="A21" s="66" t="n">
        <v>19</v>
      </c>
      <c r="B21" s="66" t="s">
        <v>114</v>
      </c>
      <c r="C21" s="66" t="s">
        <v>477</v>
      </c>
      <c r="D21" s="66" t="s">
        <v>545</v>
      </c>
      <c r="E21" s="66" t="s">
        <v>963</v>
      </c>
      <c r="F21" s="8" t="s">
        <v>983</v>
      </c>
      <c r="G21" s="66" t="s">
        <v>547</v>
      </c>
      <c r="H21" s="66" t="s">
        <v>548</v>
      </c>
      <c r="I21" s="66"/>
      <c r="J21" s="8"/>
      <c r="K21" s="8"/>
    </row>
    <row r="22" customFormat="false" ht="45.75" hidden="false" customHeight="true" outlineLevel="0" collapsed="false">
      <c r="A22" s="66" t="n">
        <v>20</v>
      </c>
      <c r="B22" s="66" t="s">
        <v>114</v>
      </c>
      <c r="C22" s="66" t="s">
        <v>477</v>
      </c>
      <c r="D22" s="66" t="s">
        <v>545</v>
      </c>
      <c r="E22" s="66" t="s">
        <v>965</v>
      </c>
      <c r="F22" s="8" t="s">
        <v>984</v>
      </c>
      <c r="G22" s="66" t="s">
        <v>547</v>
      </c>
      <c r="H22" s="66" t="s">
        <v>548</v>
      </c>
      <c r="I22" s="66"/>
      <c r="J22" s="8"/>
      <c r="K22" s="8"/>
    </row>
    <row r="23" customFormat="false" ht="45.75" hidden="false" customHeight="true" outlineLevel="0" collapsed="false">
      <c r="A23" s="66" t="n">
        <v>21</v>
      </c>
      <c r="B23" s="66" t="s">
        <v>114</v>
      </c>
      <c r="C23" s="66" t="s">
        <v>477</v>
      </c>
      <c r="D23" s="66" t="s">
        <v>549</v>
      </c>
      <c r="E23" s="66" t="s">
        <v>963</v>
      </c>
      <c r="F23" s="8" t="s">
        <v>985</v>
      </c>
      <c r="G23" s="66" t="s">
        <v>551</v>
      </c>
      <c r="H23" s="66" t="s">
        <v>552</v>
      </c>
      <c r="I23" s="66"/>
      <c r="J23" s="8"/>
      <c r="K23" s="8"/>
    </row>
    <row r="24" customFormat="false" ht="45.75" hidden="false" customHeight="true" outlineLevel="0" collapsed="false">
      <c r="A24" s="66" t="n">
        <v>22</v>
      </c>
      <c r="B24" s="66" t="s">
        <v>114</v>
      </c>
      <c r="C24" s="66" t="s">
        <v>477</v>
      </c>
      <c r="D24" s="66" t="s">
        <v>549</v>
      </c>
      <c r="E24" s="66" t="s">
        <v>965</v>
      </c>
      <c r="F24" s="8" t="s">
        <v>986</v>
      </c>
      <c r="G24" s="66" t="s">
        <v>551</v>
      </c>
      <c r="H24" s="66" t="s">
        <v>552</v>
      </c>
      <c r="I24" s="66"/>
      <c r="J24" s="8"/>
      <c r="K24" s="8"/>
    </row>
    <row r="25" customFormat="false" ht="34.5" hidden="false" customHeight="true" outlineLevel="0" collapsed="false">
      <c r="A25" s="66" t="n">
        <v>23</v>
      </c>
      <c r="B25" s="66" t="s">
        <v>114</v>
      </c>
      <c r="C25" s="66" t="s">
        <v>477</v>
      </c>
      <c r="D25" s="66" t="s">
        <v>553</v>
      </c>
      <c r="E25" s="66" t="s">
        <v>963</v>
      </c>
      <c r="F25" s="8" t="s">
        <v>987</v>
      </c>
      <c r="G25" s="66" t="s">
        <v>555</v>
      </c>
      <c r="H25" s="66" t="s">
        <v>556</v>
      </c>
      <c r="I25" s="66"/>
      <c r="J25" s="8"/>
      <c r="K25" s="8"/>
    </row>
    <row r="26" customFormat="false" ht="45.75" hidden="false" customHeight="true" outlineLevel="0" collapsed="false">
      <c r="A26" s="66" t="n">
        <v>24</v>
      </c>
      <c r="B26" s="66" t="s">
        <v>114</v>
      </c>
      <c r="C26" s="66" t="s">
        <v>477</v>
      </c>
      <c r="D26" s="66" t="s">
        <v>553</v>
      </c>
      <c r="E26" s="66" t="s">
        <v>965</v>
      </c>
      <c r="F26" s="8" t="s">
        <v>988</v>
      </c>
      <c r="G26" s="66" t="s">
        <v>555</v>
      </c>
      <c r="H26" s="66" t="s">
        <v>556</v>
      </c>
      <c r="I26" s="66"/>
      <c r="J26" s="8"/>
      <c r="K26" s="8"/>
    </row>
    <row r="27" customFormat="false" ht="34.5" hidden="false" customHeight="true" outlineLevel="0" collapsed="false">
      <c r="A27" s="66" t="n">
        <v>25</v>
      </c>
      <c r="B27" s="66" t="s">
        <v>114</v>
      </c>
      <c r="C27" s="66" t="s">
        <v>477</v>
      </c>
      <c r="D27" s="66" t="s">
        <v>557</v>
      </c>
      <c r="E27" s="66" t="s">
        <v>963</v>
      </c>
      <c r="F27" s="8" t="s">
        <v>989</v>
      </c>
      <c r="G27" s="66" t="s">
        <v>547</v>
      </c>
      <c r="H27" s="66" t="s">
        <v>548</v>
      </c>
      <c r="I27" s="66"/>
      <c r="J27" s="8"/>
      <c r="K27" s="8"/>
    </row>
    <row r="28" customFormat="false" ht="45.75" hidden="false" customHeight="true" outlineLevel="0" collapsed="false">
      <c r="A28" s="66" t="n">
        <v>26</v>
      </c>
      <c r="B28" s="66" t="s">
        <v>114</v>
      </c>
      <c r="C28" s="66" t="s">
        <v>477</v>
      </c>
      <c r="D28" s="66" t="s">
        <v>557</v>
      </c>
      <c r="E28" s="66" t="s">
        <v>965</v>
      </c>
      <c r="F28" s="8" t="s">
        <v>990</v>
      </c>
      <c r="G28" s="66" t="s">
        <v>547</v>
      </c>
      <c r="H28" s="66" t="s">
        <v>548</v>
      </c>
      <c r="I28" s="66"/>
      <c r="J28" s="8"/>
      <c r="K28" s="8"/>
    </row>
    <row r="29" customFormat="false" ht="34.5" hidden="false" customHeight="true" outlineLevel="0" collapsed="false">
      <c r="A29" s="66" t="n">
        <v>27</v>
      </c>
      <c r="B29" s="66" t="s">
        <v>114</v>
      </c>
      <c r="C29" s="66" t="s">
        <v>477</v>
      </c>
      <c r="D29" s="66" t="s">
        <v>559</v>
      </c>
      <c r="E29" s="66" t="s">
        <v>963</v>
      </c>
      <c r="F29" s="8" t="s">
        <v>991</v>
      </c>
      <c r="G29" s="66" t="s">
        <v>561</v>
      </c>
      <c r="H29" s="66" t="s">
        <v>562</v>
      </c>
      <c r="I29" s="66"/>
      <c r="J29" s="8"/>
      <c r="K29" s="8"/>
    </row>
    <row r="30" customFormat="false" ht="45.75" hidden="false" customHeight="true" outlineLevel="0" collapsed="false">
      <c r="A30" s="66" t="n">
        <v>28</v>
      </c>
      <c r="B30" s="66" t="s">
        <v>114</v>
      </c>
      <c r="C30" s="66" t="s">
        <v>477</v>
      </c>
      <c r="D30" s="66" t="s">
        <v>559</v>
      </c>
      <c r="E30" s="66" t="s">
        <v>965</v>
      </c>
      <c r="F30" s="8" t="s">
        <v>992</v>
      </c>
      <c r="G30" s="66" t="s">
        <v>561</v>
      </c>
      <c r="H30" s="66" t="s">
        <v>562</v>
      </c>
      <c r="I30" s="66"/>
      <c r="J30" s="8"/>
      <c r="K30" s="8"/>
    </row>
    <row r="31" customFormat="false" ht="34.5" hidden="false" customHeight="true" outlineLevel="0" collapsed="false">
      <c r="A31" s="66" t="n">
        <v>29</v>
      </c>
      <c r="B31" s="66" t="s">
        <v>114</v>
      </c>
      <c r="C31" s="66" t="s">
        <v>477</v>
      </c>
      <c r="D31" s="66" t="s">
        <v>563</v>
      </c>
      <c r="E31" s="66" t="s">
        <v>963</v>
      </c>
      <c r="F31" s="8" t="s">
        <v>993</v>
      </c>
      <c r="G31" s="66" t="s">
        <v>547</v>
      </c>
      <c r="H31" s="66" t="s">
        <v>565</v>
      </c>
      <c r="I31" s="66"/>
      <c r="J31" s="8"/>
      <c r="K31" s="8"/>
    </row>
    <row r="32" customFormat="false" ht="45.75" hidden="false" customHeight="true" outlineLevel="0" collapsed="false">
      <c r="A32" s="66" t="n">
        <v>30</v>
      </c>
      <c r="B32" s="66" t="s">
        <v>114</v>
      </c>
      <c r="C32" s="66" t="s">
        <v>477</v>
      </c>
      <c r="D32" s="66" t="s">
        <v>563</v>
      </c>
      <c r="E32" s="66" t="s">
        <v>965</v>
      </c>
      <c r="F32" s="8" t="s">
        <v>994</v>
      </c>
      <c r="G32" s="66" t="s">
        <v>547</v>
      </c>
      <c r="H32" s="66" t="s">
        <v>565</v>
      </c>
      <c r="I32" s="66"/>
      <c r="J32" s="8"/>
      <c r="K32" s="8"/>
    </row>
    <row r="33" customFormat="false" ht="45.75" hidden="false" customHeight="true" outlineLevel="0" collapsed="false">
      <c r="A33" s="66" t="n">
        <v>31</v>
      </c>
      <c r="B33" s="66" t="s">
        <v>114</v>
      </c>
      <c r="C33" s="66" t="s">
        <v>477</v>
      </c>
      <c r="D33" s="66" t="s">
        <v>566</v>
      </c>
      <c r="E33" s="66" t="s">
        <v>963</v>
      </c>
      <c r="F33" s="8" t="s">
        <v>995</v>
      </c>
      <c r="G33" s="66" t="s">
        <v>568</v>
      </c>
      <c r="H33" s="66" t="s">
        <v>569</v>
      </c>
      <c r="I33" s="66"/>
      <c r="J33" s="8"/>
      <c r="K33" s="8"/>
    </row>
    <row r="34" customFormat="false" ht="45.75" hidden="false" customHeight="true" outlineLevel="0" collapsed="false">
      <c r="A34" s="66" t="n">
        <v>32</v>
      </c>
      <c r="B34" s="66" t="s">
        <v>114</v>
      </c>
      <c r="C34" s="66" t="s">
        <v>477</v>
      </c>
      <c r="D34" s="66" t="s">
        <v>566</v>
      </c>
      <c r="E34" s="66" t="s">
        <v>965</v>
      </c>
      <c r="F34" s="8" t="s">
        <v>996</v>
      </c>
      <c r="G34" s="66" t="s">
        <v>568</v>
      </c>
      <c r="H34" s="66" t="s">
        <v>569</v>
      </c>
      <c r="I34" s="66"/>
      <c r="J34" s="8"/>
      <c r="K34" s="8"/>
    </row>
    <row r="35" customFormat="false" ht="34.5" hidden="false" customHeight="true" outlineLevel="0" collapsed="false">
      <c r="A35" s="66" t="n">
        <v>33</v>
      </c>
      <c r="B35" s="66" t="s">
        <v>114</v>
      </c>
      <c r="C35" s="66" t="s">
        <v>477</v>
      </c>
      <c r="D35" s="66" t="s">
        <v>570</v>
      </c>
      <c r="E35" s="66" t="s">
        <v>963</v>
      </c>
      <c r="F35" s="8" t="s">
        <v>997</v>
      </c>
      <c r="G35" s="66" t="s">
        <v>572</v>
      </c>
      <c r="H35" s="66" t="s">
        <v>573</v>
      </c>
      <c r="I35" s="66"/>
      <c r="J35" s="8"/>
      <c r="K35" s="8"/>
    </row>
    <row r="36" customFormat="false" ht="45.75" hidden="false" customHeight="true" outlineLevel="0" collapsed="false">
      <c r="A36" s="66" t="n">
        <v>34</v>
      </c>
      <c r="B36" s="66" t="s">
        <v>114</v>
      </c>
      <c r="C36" s="66" t="s">
        <v>477</v>
      </c>
      <c r="D36" s="66" t="s">
        <v>570</v>
      </c>
      <c r="E36" s="66" t="s">
        <v>965</v>
      </c>
      <c r="F36" s="8" t="s">
        <v>998</v>
      </c>
      <c r="G36" s="66" t="s">
        <v>572</v>
      </c>
      <c r="H36" s="66" t="s">
        <v>573</v>
      </c>
      <c r="I36" s="66"/>
      <c r="J36" s="8"/>
      <c r="K36" s="8"/>
    </row>
    <row r="37" customFormat="false" ht="34.5" hidden="false" customHeight="true" outlineLevel="0" collapsed="false">
      <c r="A37" s="66" t="n">
        <v>35</v>
      </c>
      <c r="B37" s="66" t="s">
        <v>114</v>
      </c>
      <c r="C37" s="66" t="s">
        <v>477</v>
      </c>
      <c r="D37" s="66" t="s">
        <v>574</v>
      </c>
      <c r="E37" s="66" t="s">
        <v>963</v>
      </c>
      <c r="F37" s="8" t="s">
        <v>999</v>
      </c>
      <c r="G37" s="66" t="s">
        <v>576</v>
      </c>
      <c r="H37" s="66" t="s">
        <v>577</v>
      </c>
      <c r="I37" s="66"/>
      <c r="J37" s="8"/>
      <c r="K37" s="8"/>
    </row>
    <row r="38" customFormat="false" ht="45.75" hidden="false" customHeight="true" outlineLevel="0" collapsed="false">
      <c r="A38" s="66" t="n">
        <v>36</v>
      </c>
      <c r="B38" s="66" t="s">
        <v>114</v>
      </c>
      <c r="C38" s="66" t="s">
        <v>477</v>
      </c>
      <c r="D38" s="66" t="s">
        <v>574</v>
      </c>
      <c r="E38" s="66" t="s">
        <v>965</v>
      </c>
      <c r="F38" s="8" t="s">
        <v>1000</v>
      </c>
      <c r="G38" s="66" t="s">
        <v>576</v>
      </c>
      <c r="H38" s="66" t="s">
        <v>577</v>
      </c>
      <c r="I38" s="66"/>
      <c r="J38" s="8"/>
      <c r="K38" s="8"/>
    </row>
    <row r="39" customFormat="false" ht="34.5" hidden="false" customHeight="true" outlineLevel="0" collapsed="false">
      <c r="A39" s="66" t="n">
        <v>37</v>
      </c>
      <c r="B39" s="66" t="s">
        <v>114</v>
      </c>
      <c r="C39" s="66" t="s">
        <v>477</v>
      </c>
      <c r="D39" s="66" t="s">
        <v>578</v>
      </c>
      <c r="E39" s="66" t="s">
        <v>963</v>
      </c>
      <c r="F39" s="8" t="s">
        <v>1001</v>
      </c>
      <c r="G39" s="66" t="s">
        <v>580</v>
      </c>
      <c r="H39" s="66" t="s">
        <v>581</v>
      </c>
      <c r="I39" s="66"/>
      <c r="J39" s="8"/>
      <c r="K39" s="8"/>
    </row>
    <row r="40" customFormat="false" ht="45.75" hidden="false" customHeight="true" outlineLevel="0" collapsed="false">
      <c r="A40" s="66" t="n">
        <v>38</v>
      </c>
      <c r="B40" s="66" t="s">
        <v>114</v>
      </c>
      <c r="C40" s="66" t="s">
        <v>477</v>
      </c>
      <c r="D40" s="66" t="s">
        <v>578</v>
      </c>
      <c r="E40" s="66" t="s">
        <v>965</v>
      </c>
      <c r="F40" s="8" t="s">
        <v>1002</v>
      </c>
      <c r="G40" s="66" t="s">
        <v>580</v>
      </c>
      <c r="H40" s="66" t="s">
        <v>581</v>
      </c>
      <c r="I40" s="66"/>
      <c r="J40" s="8"/>
      <c r="K40" s="8"/>
    </row>
    <row r="41" customFormat="false" ht="34.5" hidden="false" customHeight="true" outlineLevel="0" collapsed="false">
      <c r="A41" s="66" t="n">
        <v>39</v>
      </c>
      <c r="B41" s="66" t="s">
        <v>115</v>
      </c>
      <c r="C41" s="66" t="s">
        <v>582</v>
      </c>
      <c r="D41" s="66" t="s">
        <v>478</v>
      </c>
      <c r="E41" s="66" t="s">
        <v>963</v>
      </c>
      <c r="F41" s="8" t="s">
        <v>1003</v>
      </c>
      <c r="G41" s="66" t="s">
        <v>584</v>
      </c>
      <c r="H41" s="66" t="s">
        <v>585</v>
      </c>
      <c r="I41" s="66"/>
      <c r="J41" s="8"/>
      <c r="K41" s="8"/>
    </row>
    <row r="42" customFormat="false" ht="45.75" hidden="false" customHeight="true" outlineLevel="0" collapsed="false">
      <c r="A42" s="66" t="n">
        <v>40</v>
      </c>
      <c r="B42" s="66" t="s">
        <v>115</v>
      </c>
      <c r="C42" s="66" t="s">
        <v>582</v>
      </c>
      <c r="D42" s="66" t="s">
        <v>478</v>
      </c>
      <c r="E42" s="66" t="s">
        <v>965</v>
      </c>
      <c r="F42" s="8" t="s">
        <v>1004</v>
      </c>
      <c r="G42" s="66" t="s">
        <v>584</v>
      </c>
      <c r="H42" s="66" t="s">
        <v>585</v>
      </c>
      <c r="I42" s="66"/>
      <c r="J42" s="8"/>
      <c r="K42" s="8"/>
    </row>
    <row r="43" customFormat="false" ht="34.5" hidden="false" customHeight="true" outlineLevel="0" collapsed="false">
      <c r="A43" s="66" t="n">
        <v>41</v>
      </c>
      <c r="B43" s="66" t="s">
        <v>115</v>
      </c>
      <c r="C43" s="66" t="s">
        <v>582</v>
      </c>
      <c r="D43" s="66" t="s">
        <v>489</v>
      </c>
      <c r="E43" s="66" t="s">
        <v>963</v>
      </c>
      <c r="F43" s="8" t="s">
        <v>1005</v>
      </c>
      <c r="G43" s="66" t="s">
        <v>587</v>
      </c>
      <c r="H43" s="66" t="s">
        <v>492</v>
      </c>
      <c r="I43" s="66"/>
      <c r="J43" s="8"/>
      <c r="K43" s="8"/>
    </row>
    <row r="44" customFormat="false" ht="45.75" hidden="false" customHeight="true" outlineLevel="0" collapsed="false">
      <c r="A44" s="66" t="n">
        <v>42</v>
      </c>
      <c r="B44" s="66" t="s">
        <v>115</v>
      </c>
      <c r="C44" s="66" t="s">
        <v>582</v>
      </c>
      <c r="D44" s="66" t="s">
        <v>489</v>
      </c>
      <c r="E44" s="66" t="s">
        <v>965</v>
      </c>
      <c r="F44" s="8" t="s">
        <v>1006</v>
      </c>
      <c r="G44" s="66" t="s">
        <v>587</v>
      </c>
      <c r="H44" s="66" t="s">
        <v>492</v>
      </c>
      <c r="I44" s="66"/>
      <c r="J44" s="8"/>
      <c r="K44" s="8"/>
    </row>
    <row r="45" customFormat="false" ht="34.5" hidden="false" customHeight="true" outlineLevel="0" collapsed="false">
      <c r="A45" s="66" t="n">
        <v>43</v>
      </c>
      <c r="B45" s="66" t="s">
        <v>115</v>
      </c>
      <c r="C45" s="66" t="s">
        <v>582</v>
      </c>
      <c r="D45" s="66" t="s">
        <v>499</v>
      </c>
      <c r="E45" s="66" t="s">
        <v>963</v>
      </c>
      <c r="F45" s="8" t="s">
        <v>1007</v>
      </c>
      <c r="G45" s="66" t="s">
        <v>589</v>
      </c>
      <c r="H45" s="66" t="s">
        <v>590</v>
      </c>
      <c r="I45" s="66"/>
      <c r="J45" s="8"/>
      <c r="K45" s="8"/>
    </row>
    <row r="46" customFormat="false" ht="45.75" hidden="false" customHeight="true" outlineLevel="0" collapsed="false">
      <c r="A46" s="66" t="n">
        <v>44</v>
      </c>
      <c r="B46" s="66" t="s">
        <v>115</v>
      </c>
      <c r="C46" s="66" t="s">
        <v>582</v>
      </c>
      <c r="D46" s="66" t="s">
        <v>499</v>
      </c>
      <c r="E46" s="66" t="s">
        <v>965</v>
      </c>
      <c r="F46" s="8" t="s">
        <v>1008</v>
      </c>
      <c r="G46" s="66" t="s">
        <v>589</v>
      </c>
      <c r="H46" s="66" t="s">
        <v>590</v>
      </c>
      <c r="I46" s="66"/>
      <c r="J46" s="8"/>
      <c r="K46" s="8"/>
    </row>
    <row r="47" customFormat="false" ht="34.5" hidden="false" customHeight="true" outlineLevel="0" collapsed="false">
      <c r="A47" s="66" t="n">
        <v>45</v>
      </c>
      <c r="B47" s="66" t="s">
        <v>115</v>
      </c>
      <c r="C47" s="66" t="s">
        <v>582</v>
      </c>
      <c r="D47" s="66" t="s">
        <v>508</v>
      </c>
      <c r="E47" s="66" t="s">
        <v>963</v>
      </c>
      <c r="F47" s="8" t="s">
        <v>1009</v>
      </c>
      <c r="G47" s="66" t="s">
        <v>592</v>
      </c>
      <c r="H47" s="66" t="s">
        <v>565</v>
      </c>
      <c r="I47" s="66"/>
      <c r="J47" s="8"/>
      <c r="K47" s="8"/>
    </row>
    <row r="48" customFormat="false" ht="45.75" hidden="false" customHeight="true" outlineLevel="0" collapsed="false">
      <c r="A48" s="66" t="n">
        <v>46</v>
      </c>
      <c r="B48" s="66" t="s">
        <v>115</v>
      </c>
      <c r="C48" s="66" t="s">
        <v>582</v>
      </c>
      <c r="D48" s="66" t="s">
        <v>508</v>
      </c>
      <c r="E48" s="66" t="s">
        <v>965</v>
      </c>
      <c r="F48" s="8" t="s">
        <v>1010</v>
      </c>
      <c r="G48" s="66" t="s">
        <v>592</v>
      </c>
      <c r="H48" s="66" t="s">
        <v>565</v>
      </c>
      <c r="I48" s="66"/>
      <c r="J48" s="8"/>
      <c r="K48" s="8"/>
    </row>
    <row r="49" customFormat="false" ht="34.5" hidden="false" customHeight="true" outlineLevel="0" collapsed="false">
      <c r="A49" s="66" t="n">
        <v>47</v>
      </c>
      <c r="B49" s="66" t="s">
        <v>115</v>
      </c>
      <c r="C49" s="66" t="s">
        <v>582</v>
      </c>
      <c r="D49" s="66" t="s">
        <v>517</v>
      </c>
      <c r="E49" s="66" t="s">
        <v>963</v>
      </c>
      <c r="F49" s="8" t="s">
        <v>1011</v>
      </c>
      <c r="G49" s="66" t="s">
        <v>589</v>
      </c>
      <c r="H49" s="66" t="s">
        <v>594</v>
      </c>
      <c r="I49" s="66"/>
      <c r="J49" s="8"/>
      <c r="K49" s="8"/>
    </row>
    <row r="50" customFormat="false" ht="45.75" hidden="false" customHeight="true" outlineLevel="0" collapsed="false">
      <c r="A50" s="66" t="n">
        <v>48</v>
      </c>
      <c r="B50" s="66" t="s">
        <v>115</v>
      </c>
      <c r="C50" s="66" t="s">
        <v>582</v>
      </c>
      <c r="D50" s="66" t="s">
        <v>517</v>
      </c>
      <c r="E50" s="66" t="s">
        <v>965</v>
      </c>
      <c r="F50" s="8" t="s">
        <v>1012</v>
      </c>
      <c r="G50" s="66" t="s">
        <v>589</v>
      </c>
      <c r="H50" s="66" t="s">
        <v>594</v>
      </c>
      <c r="I50" s="66"/>
      <c r="J50" s="8"/>
      <c r="K50" s="8"/>
    </row>
    <row r="51" customFormat="false" ht="34.5" hidden="false" customHeight="true" outlineLevel="0" collapsed="false">
      <c r="A51" s="66" t="n">
        <v>49</v>
      </c>
      <c r="B51" s="66" t="s">
        <v>115</v>
      </c>
      <c r="C51" s="66" t="s">
        <v>582</v>
      </c>
      <c r="D51" s="66" t="s">
        <v>525</v>
      </c>
      <c r="E51" s="66" t="s">
        <v>963</v>
      </c>
      <c r="F51" s="8" t="s">
        <v>1013</v>
      </c>
      <c r="G51" s="66" t="s">
        <v>596</v>
      </c>
      <c r="H51" s="66" t="s">
        <v>597</v>
      </c>
      <c r="I51" s="66"/>
      <c r="J51" s="8"/>
      <c r="K51" s="8"/>
    </row>
    <row r="52" customFormat="false" ht="45.75" hidden="false" customHeight="true" outlineLevel="0" collapsed="false">
      <c r="A52" s="66" t="n">
        <v>50</v>
      </c>
      <c r="B52" s="66" t="s">
        <v>115</v>
      </c>
      <c r="C52" s="66" t="s">
        <v>582</v>
      </c>
      <c r="D52" s="66" t="s">
        <v>525</v>
      </c>
      <c r="E52" s="66" t="s">
        <v>965</v>
      </c>
      <c r="F52" s="8" t="s">
        <v>1014</v>
      </c>
      <c r="G52" s="66" t="s">
        <v>596</v>
      </c>
      <c r="H52" s="66" t="s">
        <v>597</v>
      </c>
      <c r="I52" s="66"/>
      <c r="J52" s="8"/>
      <c r="K52" s="8"/>
    </row>
    <row r="53" customFormat="false" ht="34.5" hidden="false" customHeight="true" outlineLevel="0" collapsed="false">
      <c r="A53" s="66" t="n">
        <v>51</v>
      </c>
      <c r="B53" s="66" t="s">
        <v>115</v>
      </c>
      <c r="C53" s="66" t="s">
        <v>582</v>
      </c>
      <c r="D53" s="66" t="s">
        <v>537</v>
      </c>
      <c r="E53" s="66" t="s">
        <v>963</v>
      </c>
      <c r="F53" s="8" t="s">
        <v>1015</v>
      </c>
      <c r="G53" s="66" t="s">
        <v>599</v>
      </c>
      <c r="H53" s="66" t="s">
        <v>528</v>
      </c>
      <c r="I53" s="66"/>
      <c r="J53" s="8"/>
      <c r="K53" s="8"/>
    </row>
    <row r="54" customFormat="false" ht="45.75" hidden="false" customHeight="true" outlineLevel="0" collapsed="false">
      <c r="A54" s="66" t="n">
        <v>52</v>
      </c>
      <c r="B54" s="66" t="s">
        <v>115</v>
      </c>
      <c r="C54" s="66" t="s">
        <v>582</v>
      </c>
      <c r="D54" s="66" t="s">
        <v>537</v>
      </c>
      <c r="E54" s="66" t="s">
        <v>965</v>
      </c>
      <c r="F54" s="8" t="s">
        <v>1016</v>
      </c>
      <c r="G54" s="66" t="s">
        <v>599</v>
      </c>
      <c r="H54" s="66" t="s">
        <v>528</v>
      </c>
      <c r="I54" s="66"/>
      <c r="J54" s="8"/>
      <c r="K54" s="8"/>
    </row>
    <row r="55" customFormat="false" ht="34.5" hidden="false" customHeight="true" outlineLevel="0" collapsed="false">
      <c r="A55" s="66" t="n">
        <v>53</v>
      </c>
      <c r="B55" s="66" t="s">
        <v>115</v>
      </c>
      <c r="C55" s="66" t="s">
        <v>582</v>
      </c>
      <c r="D55" s="66" t="s">
        <v>541</v>
      </c>
      <c r="E55" s="66" t="s">
        <v>963</v>
      </c>
      <c r="F55" s="8" t="s">
        <v>1017</v>
      </c>
      <c r="G55" s="66" t="s">
        <v>601</v>
      </c>
      <c r="H55" s="66" t="s">
        <v>602</v>
      </c>
      <c r="I55" s="66"/>
      <c r="J55" s="8"/>
      <c r="K55" s="8"/>
    </row>
    <row r="56" customFormat="false" ht="45.75" hidden="false" customHeight="true" outlineLevel="0" collapsed="false">
      <c r="A56" s="66" t="n">
        <v>54</v>
      </c>
      <c r="B56" s="66" t="s">
        <v>115</v>
      </c>
      <c r="C56" s="66" t="s">
        <v>582</v>
      </c>
      <c r="D56" s="66" t="s">
        <v>541</v>
      </c>
      <c r="E56" s="66" t="s">
        <v>965</v>
      </c>
      <c r="F56" s="8" t="s">
        <v>1018</v>
      </c>
      <c r="G56" s="66" t="s">
        <v>601</v>
      </c>
      <c r="H56" s="66" t="s">
        <v>602</v>
      </c>
      <c r="I56" s="66"/>
      <c r="J56" s="8"/>
      <c r="K56" s="8"/>
    </row>
    <row r="57" customFormat="false" ht="34.5" hidden="false" customHeight="true" outlineLevel="0" collapsed="false">
      <c r="A57" s="66" t="n">
        <v>55</v>
      </c>
      <c r="B57" s="66" t="s">
        <v>115</v>
      </c>
      <c r="C57" s="66" t="s">
        <v>582</v>
      </c>
      <c r="D57" s="66" t="s">
        <v>545</v>
      </c>
      <c r="E57" s="66" t="s">
        <v>963</v>
      </c>
      <c r="F57" s="8" t="s">
        <v>1019</v>
      </c>
      <c r="G57" s="66" t="s">
        <v>604</v>
      </c>
      <c r="H57" s="66" t="s">
        <v>605</v>
      </c>
      <c r="I57" s="66"/>
      <c r="J57" s="8"/>
      <c r="K57" s="8"/>
    </row>
    <row r="58" customFormat="false" ht="45.75" hidden="false" customHeight="true" outlineLevel="0" collapsed="false">
      <c r="A58" s="66" t="n">
        <v>56</v>
      </c>
      <c r="B58" s="66" t="s">
        <v>115</v>
      </c>
      <c r="C58" s="66" t="s">
        <v>582</v>
      </c>
      <c r="D58" s="66" t="s">
        <v>545</v>
      </c>
      <c r="E58" s="66" t="s">
        <v>965</v>
      </c>
      <c r="F58" s="8" t="s">
        <v>1020</v>
      </c>
      <c r="G58" s="66" t="s">
        <v>604</v>
      </c>
      <c r="H58" s="66" t="s">
        <v>605</v>
      </c>
      <c r="I58" s="66"/>
      <c r="J58" s="8"/>
      <c r="K58" s="8"/>
    </row>
    <row r="59" customFormat="false" ht="34.5" hidden="false" customHeight="true" outlineLevel="0" collapsed="false">
      <c r="A59" s="66" t="n">
        <v>57</v>
      </c>
      <c r="B59" s="66" t="s">
        <v>115</v>
      </c>
      <c r="C59" s="66" t="s">
        <v>582</v>
      </c>
      <c r="D59" s="66" t="s">
        <v>549</v>
      </c>
      <c r="E59" s="66" t="s">
        <v>963</v>
      </c>
      <c r="F59" s="8" t="s">
        <v>1021</v>
      </c>
      <c r="G59" s="66" t="s">
        <v>592</v>
      </c>
      <c r="H59" s="66" t="s">
        <v>565</v>
      </c>
      <c r="I59" s="66"/>
      <c r="J59" s="8"/>
      <c r="K59" s="8"/>
    </row>
    <row r="60" customFormat="false" ht="45.75" hidden="false" customHeight="true" outlineLevel="0" collapsed="false">
      <c r="A60" s="66" t="n">
        <v>58</v>
      </c>
      <c r="B60" s="66" t="s">
        <v>115</v>
      </c>
      <c r="C60" s="66" t="s">
        <v>582</v>
      </c>
      <c r="D60" s="66" t="s">
        <v>549</v>
      </c>
      <c r="E60" s="66" t="s">
        <v>965</v>
      </c>
      <c r="F60" s="8" t="s">
        <v>1022</v>
      </c>
      <c r="G60" s="66" t="s">
        <v>592</v>
      </c>
      <c r="H60" s="66" t="s">
        <v>565</v>
      </c>
      <c r="I60" s="66"/>
      <c r="J60" s="8"/>
      <c r="K60" s="8"/>
    </row>
    <row r="61" customFormat="false" ht="34.5" hidden="false" customHeight="true" outlineLevel="0" collapsed="false">
      <c r="A61" s="66" t="n">
        <v>59</v>
      </c>
      <c r="B61" s="66" t="s">
        <v>115</v>
      </c>
      <c r="C61" s="66" t="s">
        <v>582</v>
      </c>
      <c r="D61" s="66" t="s">
        <v>553</v>
      </c>
      <c r="E61" s="66" t="s">
        <v>963</v>
      </c>
      <c r="F61" s="8" t="s">
        <v>1023</v>
      </c>
      <c r="G61" s="66" t="s">
        <v>596</v>
      </c>
      <c r="H61" s="66" t="s">
        <v>608</v>
      </c>
      <c r="I61" s="66"/>
      <c r="J61" s="8"/>
      <c r="K61" s="8"/>
    </row>
    <row r="62" customFormat="false" ht="45.75" hidden="false" customHeight="true" outlineLevel="0" collapsed="false">
      <c r="A62" s="66" t="n">
        <v>60</v>
      </c>
      <c r="B62" s="66" t="s">
        <v>115</v>
      </c>
      <c r="C62" s="66" t="s">
        <v>582</v>
      </c>
      <c r="D62" s="66" t="s">
        <v>553</v>
      </c>
      <c r="E62" s="66" t="s">
        <v>965</v>
      </c>
      <c r="F62" s="8" t="s">
        <v>1024</v>
      </c>
      <c r="G62" s="66" t="s">
        <v>596</v>
      </c>
      <c r="H62" s="66" t="s">
        <v>608</v>
      </c>
      <c r="I62" s="66"/>
      <c r="J62" s="8"/>
      <c r="K62" s="8"/>
    </row>
    <row r="63" customFormat="false" ht="34.5" hidden="false" customHeight="true" outlineLevel="0" collapsed="false">
      <c r="A63" s="66" t="n">
        <v>61</v>
      </c>
      <c r="B63" s="66" t="s">
        <v>115</v>
      </c>
      <c r="C63" s="66" t="s">
        <v>582</v>
      </c>
      <c r="D63" s="66" t="s">
        <v>609</v>
      </c>
      <c r="E63" s="66" t="s">
        <v>963</v>
      </c>
      <c r="F63" s="8" t="s">
        <v>1025</v>
      </c>
      <c r="G63" s="66" t="s">
        <v>604</v>
      </c>
      <c r="H63" s="66" t="s">
        <v>611</v>
      </c>
      <c r="I63" s="66"/>
      <c r="J63" s="8"/>
      <c r="K63" s="8"/>
    </row>
    <row r="64" customFormat="false" ht="45.75" hidden="false" customHeight="true" outlineLevel="0" collapsed="false">
      <c r="A64" s="66" t="n">
        <v>62</v>
      </c>
      <c r="B64" s="66" t="s">
        <v>115</v>
      </c>
      <c r="C64" s="66" t="s">
        <v>582</v>
      </c>
      <c r="D64" s="66" t="s">
        <v>609</v>
      </c>
      <c r="E64" s="66" t="s">
        <v>965</v>
      </c>
      <c r="F64" s="8" t="s">
        <v>1026</v>
      </c>
      <c r="G64" s="66" t="s">
        <v>604</v>
      </c>
      <c r="H64" s="66" t="s">
        <v>611</v>
      </c>
      <c r="I64" s="66"/>
      <c r="J64" s="8"/>
      <c r="K64" s="8"/>
    </row>
    <row r="65" customFormat="false" ht="23.25" hidden="false" customHeight="true" outlineLevel="0" collapsed="false">
      <c r="A65" s="66" t="n">
        <v>63</v>
      </c>
      <c r="B65" s="66" t="s">
        <v>115</v>
      </c>
      <c r="C65" s="66" t="s">
        <v>582</v>
      </c>
      <c r="D65" s="66" t="s">
        <v>612</v>
      </c>
      <c r="E65" s="66" t="s">
        <v>963</v>
      </c>
      <c r="F65" s="8" t="s">
        <v>1027</v>
      </c>
      <c r="G65" s="66" t="s">
        <v>614</v>
      </c>
      <c r="H65" s="66" t="s">
        <v>615</v>
      </c>
      <c r="I65" s="66"/>
      <c r="J65" s="8"/>
      <c r="K65" s="8"/>
    </row>
    <row r="66" customFormat="false" ht="45.75" hidden="false" customHeight="true" outlineLevel="0" collapsed="false">
      <c r="A66" s="66" t="n">
        <v>64</v>
      </c>
      <c r="B66" s="66" t="s">
        <v>115</v>
      </c>
      <c r="C66" s="66" t="s">
        <v>582</v>
      </c>
      <c r="D66" s="66" t="s">
        <v>612</v>
      </c>
      <c r="E66" s="66" t="s">
        <v>965</v>
      </c>
      <c r="F66" s="8" t="s">
        <v>1028</v>
      </c>
      <c r="G66" s="66" t="s">
        <v>614</v>
      </c>
      <c r="H66" s="66" t="s">
        <v>615</v>
      </c>
      <c r="I66" s="66"/>
      <c r="J66" s="8"/>
      <c r="K66" s="8"/>
    </row>
    <row r="67" customFormat="false" ht="34.5" hidden="false" customHeight="true" outlineLevel="0" collapsed="false">
      <c r="A67" s="66" t="n">
        <v>65</v>
      </c>
      <c r="B67" s="66" t="s">
        <v>115</v>
      </c>
      <c r="C67" s="66" t="s">
        <v>582</v>
      </c>
      <c r="D67" s="66" t="s">
        <v>616</v>
      </c>
      <c r="E67" s="66" t="s">
        <v>963</v>
      </c>
      <c r="F67" s="8" t="s">
        <v>1029</v>
      </c>
      <c r="G67" s="66" t="s">
        <v>555</v>
      </c>
      <c r="H67" s="66" t="s">
        <v>556</v>
      </c>
      <c r="I67" s="66"/>
      <c r="J67" s="8"/>
      <c r="K67" s="8"/>
    </row>
    <row r="68" customFormat="false" ht="45.75" hidden="false" customHeight="true" outlineLevel="0" collapsed="false">
      <c r="A68" s="66" t="n">
        <v>66</v>
      </c>
      <c r="B68" s="66" t="s">
        <v>115</v>
      </c>
      <c r="C68" s="66" t="s">
        <v>582</v>
      </c>
      <c r="D68" s="66" t="s">
        <v>616</v>
      </c>
      <c r="E68" s="66" t="s">
        <v>965</v>
      </c>
      <c r="F68" s="8" t="s">
        <v>1030</v>
      </c>
      <c r="G68" s="66" t="s">
        <v>555</v>
      </c>
      <c r="H68" s="66" t="s">
        <v>556</v>
      </c>
      <c r="I68" s="66"/>
      <c r="J68" s="8"/>
      <c r="K68" s="8"/>
    </row>
    <row r="69" customFormat="false" ht="34.5" hidden="false" customHeight="true" outlineLevel="0" collapsed="false">
      <c r="A69" s="66" t="n">
        <v>67</v>
      </c>
      <c r="B69" s="66" t="s">
        <v>115</v>
      </c>
      <c r="C69" s="66" t="s">
        <v>582</v>
      </c>
      <c r="D69" s="66" t="s">
        <v>557</v>
      </c>
      <c r="E69" s="66" t="s">
        <v>963</v>
      </c>
      <c r="F69" s="8" t="s">
        <v>1031</v>
      </c>
      <c r="G69" s="66" t="s">
        <v>619</v>
      </c>
      <c r="H69" s="66" t="s">
        <v>581</v>
      </c>
      <c r="I69" s="66"/>
      <c r="J69" s="8"/>
      <c r="K69" s="8"/>
    </row>
    <row r="70" customFormat="false" ht="45.75" hidden="false" customHeight="true" outlineLevel="0" collapsed="false">
      <c r="A70" s="66" t="n">
        <v>68</v>
      </c>
      <c r="B70" s="66" t="s">
        <v>115</v>
      </c>
      <c r="C70" s="66" t="s">
        <v>582</v>
      </c>
      <c r="D70" s="66" t="s">
        <v>557</v>
      </c>
      <c r="E70" s="66" t="s">
        <v>965</v>
      </c>
      <c r="F70" s="8" t="s">
        <v>1032</v>
      </c>
      <c r="G70" s="66" t="s">
        <v>619</v>
      </c>
      <c r="H70" s="66" t="s">
        <v>581</v>
      </c>
      <c r="I70" s="66"/>
      <c r="J70" s="8"/>
      <c r="K70" s="8"/>
    </row>
    <row r="71" customFormat="false" ht="34.5" hidden="false" customHeight="true" outlineLevel="0" collapsed="false">
      <c r="A71" s="66" t="n">
        <v>69</v>
      </c>
      <c r="B71" s="66" t="s">
        <v>115</v>
      </c>
      <c r="C71" s="66" t="s">
        <v>582</v>
      </c>
      <c r="D71" s="66" t="s">
        <v>559</v>
      </c>
      <c r="E71" s="66" t="s">
        <v>963</v>
      </c>
      <c r="F71" s="8" t="s">
        <v>1033</v>
      </c>
      <c r="G71" s="66" t="s">
        <v>621</v>
      </c>
      <c r="H71" s="66" t="s">
        <v>581</v>
      </c>
      <c r="I71" s="66"/>
      <c r="J71" s="8"/>
      <c r="K71" s="8"/>
    </row>
    <row r="72" customFormat="false" ht="45.75" hidden="false" customHeight="true" outlineLevel="0" collapsed="false">
      <c r="A72" s="66" t="n">
        <v>70</v>
      </c>
      <c r="B72" s="66" t="s">
        <v>115</v>
      </c>
      <c r="C72" s="66" t="s">
        <v>582</v>
      </c>
      <c r="D72" s="66" t="s">
        <v>559</v>
      </c>
      <c r="E72" s="66" t="s">
        <v>965</v>
      </c>
      <c r="F72" s="8" t="s">
        <v>1034</v>
      </c>
      <c r="G72" s="66" t="s">
        <v>621</v>
      </c>
      <c r="H72" s="66" t="s">
        <v>581</v>
      </c>
      <c r="I72" s="66"/>
      <c r="J72" s="8"/>
      <c r="K72" s="8"/>
    </row>
    <row r="73" customFormat="false" ht="34.5" hidden="false" customHeight="true" outlineLevel="0" collapsed="false">
      <c r="A73" s="66" t="n">
        <v>71</v>
      </c>
      <c r="B73" s="66" t="s">
        <v>115</v>
      </c>
      <c r="C73" s="66" t="s">
        <v>582</v>
      </c>
      <c r="D73" s="66" t="s">
        <v>566</v>
      </c>
      <c r="E73" s="66" t="s">
        <v>963</v>
      </c>
      <c r="F73" s="8" t="s">
        <v>1035</v>
      </c>
      <c r="G73" s="66" t="s">
        <v>596</v>
      </c>
      <c r="H73" s="66" t="s">
        <v>608</v>
      </c>
      <c r="I73" s="66"/>
      <c r="J73" s="8"/>
      <c r="K73" s="8"/>
    </row>
    <row r="74" customFormat="false" ht="45.75" hidden="false" customHeight="true" outlineLevel="0" collapsed="false">
      <c r="A74" s="66" t="n">
        <v>72</v>
      </c>
      <c r="B74" s="66" t="s">
        <v>115</v>
      </c>
      <c r="C74" s="66" t="s">
        <v>582</v>
      </c>
      <c r="D74" s="66" t="s">
        <v>566</v>
      </c>
      <c r="E74" s="66" t="s">
        <v>965</v>
      </c>
      <c r="F74" s="8" t="s">
        <v>1036</v>
      </c>
      <c r="G74" s="66" t="s">
        <v>596</v>
      </c>
      <c r="H74" s="66" t="s">
        <v>608</v>
      </c>
      <c r="I74" s="66"/>
      <c r="J74" s="8"/>
      <c r="K74" s="8"/>
    </row>
    <row r="75" customFormat="false" ht="34.5" hidden="false" customHeight="true" outlineLevel="0" collapsed="false">
      <c r="A75" s="66" t="n">
        <v>73</v>
      </c>
      <c r="B75" s="66" t="s">
        <v>115</v>
      </c>
      <c r="C75" s="66" t="s">
        <v>582</v>
      </c>
      <c r="D75" s="66" t="s">
        <v>570</v>
      </c>
      <c r="E75" s="66" t="s">
        <v>963</v>
      </c>
      <c r="F75" s="8" t="s">
        <v>1037</v>
      </c>
      <c r="G75" s="66" t="s">
        <v>624</v>
      </c>
      <c r="H75" s="66" t="s">
        <v>492</v>
      </c>
      <c r="I75" s="66"/>
      <c r="J75" s="8"/>
      <c r="K75" s="8"/>
    </row>
    <row r="76" customFormat="false" ht="45.75" hidden="false" customHeight="true" outlineLevel="0" collapsed="false">
      <c r="A76" s="66" t="n">
        <v>74</v>
      </c>
      <c r="B76" s="66" t="s">
        <v>115</v>
      </c>
      <c r="C76" s="66" t="s">
        <v>582</v>
      </c>
      <c r="D76" s="66" t="s">
        <v>570</v>
      </c>
      <c r="E76" s="66" t="s">
        <v>965</v>
      </c>
      <c r="F76" s="8" t="s">
        <v>1038</v>
      </c>
      <c r="G76" s="66" t="s">
        <v>624</v>
      </c>
      <c r="H76" s="66" t="s">
        <v>492</v>
      </c>
      <c r="I76" s="66"/>
      <c r="J76" s="8"/>
      <c r="K76" s="8"/>
    </row>
    <row r="77" customFormat="false" ht="34.5" hidden="false" customHeight="true" outlineLevel="0" collapsed="false">
      <c r="A77" s="66" t="n">
        <v>75</v>
      </c>
      <c r="B77" s="66" t="s">
        <v>116</v>
      </c>
      <c r="C77" s="66" t="s">
        <v>625</v>
      </c>
      <c r="D77" s="66" t="s">
        <v>478</v>
      </c>
      <c r="E77" s="66" t="s">
        <v>963</v>
      </c>
      <c r="F77" s="8" t="s">
        <v>1039</v>
      </c>
      <c r="G77" s="66" t="s">
        <v>601</v>
      </c>
      <c r="H77" s="66" t="s">
        <v>627</v>
      </c>
      <c r="I77" s="66"/>
      <c r="J77" s="8"/>
      <c r="K77" s="8"/>
    </row>
    <row r="78" customFormat="false" ht="45.75" hidden="false" customHeight="true" outlineLevel="0" collapsed="false">
      <c r="A78" s="66" t="n">
        <v>76</v>
      </c>
      <c r="B78" s="66" t="s">
        <v>116</v>
      </c>
      <c r="C78" s="66" t="s">
        <v>625</v>
      </c>
      <c r="D78" s="66" t="s">
        <v>478</v>
      </c>
      <c r="E78" s="66" t="s">
        <v>965</v>
      </c>
      <c r="F78" s="8" t="s">
        <v>1040</v>
      </c>
      <c r="G78" s="66" t="s">
        <v>601</v>
      </c>
      <c r="H78" s="66" t="s">
        <v>627</v>
      </c>
      <c r="I78" s="66"/>
      <c r="J78" s="8"/>
      <c r="K78" s="8"/>
    </row>
    <row r="79" customFormat="false" ht="34.5" hidden="false" customHeight="true" outlineLevel="0" collapsed="false">
      <c r="A79" s="66" t="n">
        <v>77</v>
      </c>
      <c r="B79" s="66" t="s">
        <v>116</v>
      </c>
      <c r="C79" s="66" t="s">
        <v>625</v>
      </c>
      <c r="D79" s="66" t="s">
        <v>489</v>
      </c>
      <c r="E79" s="66" t="s">
        <v>963</v>
      </c>
      <c r="F79" s="8" t="s">
        <v>1041</v>
      </c>
      <c r="G79" s="66" t="s">
        <v>629</v>
      </c>
      <c r="H79" s="66" t="s">
        <v>630</v>
      </c>
      <c r="I79" s="66"/>
      <c r="J79" s="8"/>
      <c r="K79" s="8"/>
    </row>
    <row r="80" customFormat="false" ht="45.75" hidden="false" customHeight="true" outlineLevel="0" collapsed="false">
      <c r="A80" s="66" t="n">
        <v>78</v>
      </c>
      <c r="B80" s="66" t="s">
        <v>116</v>
      </c>
      <c r="C80" s="66" t="s">
        <v>625</v>
      </c>
      <c r="D80" s="66" t="s">
        <v>489</v>
      </c>
      <c r="E80" s="66" t="s">
        <v>965</v>
      </c>
      <c r="F80" s="8" t="s">
        <v>1042</v>
      </c>
      <c r="G80" s="66" t="s">
        <v>629</v>
      </c>
      <c r="H80" s="66" t="s">
        <v>630</v>
      </c>
      <c r="I80" s="66"/>
      <c r="J80" s="8"/>
      <c r="K80" s="8"/>
    </row>
    <row r="81" customFormat="false" ht="34.5" hidden="false" customHeight="true" outlineLevel="0" collapsed="false">
      <c r="A81" s="66" t="n">
        <v>79</v>
      </c>
      <c r="B81" s="66" t="s">
        <v>116</v>
      </c>
      <c r="C81" s="66" t="s">
        <v>625</v>
      </c>
      <c r="D81" s="66" t="s">
        <v>499</v>
      </c>
      <c r="E81" s="66" t="s">
        <v>963</v>
      </c>
      <c r="F81" s="8" t="s">
        <v>1043</v>
      </c>
      <c r="G81" s="66" t="s">
        <v>632</v>
      </c>
      <c r="H81" s="66" t="s">
        <v>565</v>
      </c>
      <c r="I81" s="66"/>
      <c r="J81" s="8"/>
      <c r="K81" s="8"/>
    </row>
    <row r="82" customFormat="false" ht="45.75" hidden="false" customHeight="true" outlineLevel="0" collapsed="false">
      <c r="A82" s="66" t="n">
        <v>80</v>
      </c>
      <c r="B82" s="66" t="s">
        <v>116</v>
      </c>
      <c r="C82" s="66" t="s">
        <v>625</v>
      </c>
      <c r="D82" s="66" t="s">
        <v>499</v>
      </c>
      <c r="E82" s="66" t="s">
        <v>965</v>
      </c>
      <c r="F82" s="8" t="s">
        <v>1044</v>
      </c>
      <c r="G82" s="66" t="s">
        <v>632</v>
      </c>
      <c r="H82" s="66" t="s">
        <v>565</v>
      </c>
      <c r="I82" s="66"/>
      <c r="J82" s="8"/>
      <c r="K82" s="8"/>
    </row>
    <row r="83" customFormat="false" ht="34.5" hidden="false" customHeight="true" outlineLevel="0" collapsed="false">
      <c r="A83" s="66" t="n">
        <v>81</v>
      </c>
      <c r="B83" s="66" t="s">
        <v>116</v>
      </c>
      <c r="C83" s="66" t="s">
        <v>625</v>
      </c>
      <c r="D83" s="66" t="s">
        <v>537</v>
      </c>
      <c r="E83" s="66" t="s">
        <v>963</v>
      </c>
      <c r="F83" s="8" t="s">
        <v>1045</v>
      </c>
      <c r="G83" s="66" t="s">
        <v>601</v>
      </c>
      <c r="H83" s="66" t="s">
        <v>634</v>
      </c>
      <c r="I83" s="66"/>
      <c r="J83" s="8"/>
      <c r="K83" s="8"/>
    </row>
    <row r="84" customFormat="false" ht="45.75" hidden="false" customHeight="true" outlineLevel="0" collapsed="false">
      <c r="A84" s="66" t="n">
        <v>82</v>
      </c>
      <c r="B84" s="66" t="s">
        <v>116</v>
      </c>
      <c r="C84" s="66" t="s">
        <v>625</v>
      </c>
      <c r="D84" s="66" t="s">
        <v>537</v>
      </c>
      <c r="E84" s="66" t="s">
        <v>965</v>
      </c>
      <c r="F84" s="8" t="s">
        <v>1046</v>
      </c>
      <c r="G84" s="66" t="s">
        <v>601</v>
      </c>
      <c r="H84" s="66" t="s">
        <v>634</v>
      </c>
      <c r="I84" s="66"/>
      <c r="J84" s="8"/>
      <c r="K84" s="8"/>
    </row>
    <row r="85" customFormat="false" ht="34.5" hidden="false" customHeight="true" outlineLevel="0" collapsed="false">
      <c r="A85" s="66" t="n">
        <v>83</v>
      </c>
      <c r="B85" s="66" t="s">
        <v>116</v>
      </c>
      <c r="C85" s="66" t="s">
        <v>625</v>
      </c>
      <c r="D85" s="66" t="s">
        <v>541</v>
      </c>
      <c r="E85" s="66" t="s">
        <v>963</v>
      </c>
      <c r="F85" s="8" t="s">
        <v>1047</v>
      </c>
      <c r="G85" s="66" t="s">
        <v>601</v>
      </c>
      <c r="H85" s="66" t="s">
        <v>636</v>
      </c>
      <c r="I85" s="66"/>
      <c r="J85" s="8"/>
      <c r="K85" s="8"/>
    </row>
    <row r="86" customFormat="false" ht="45.75" hidden="false" customHeight="true" outlineLevel="0" collapsed="false">
      <c r="A86" s="66" t="n">
        <v>84</v>
      </c>
      <c r="B86" s="66" t="s">
        <v>116</v>
      </c>
      <c r="C86" s="66" t="s">
        <v>625</v>
      </c>
      <c r="D86" s="66" t="s">
        <v>541</v>
      </c>
      <c r="E86" s="66" t="s">
        <v>965</v>
      </c>
      <c r="F86" s="8" t="s">
        <v>1048</v>
      </c>
      <c r="G86" s="66" t="s">
        <v>601</v>
      </c>
      <c r="H86" s="66" t="s">
        <v>636</v>
      </c>
      <c r="I86" s="66"/>
      <c r="J86" s="8"/>
      <c r="K86" s="8"/>
    </row>
    <row r="87" customFormat="false" ht="34.5" hidden="false" customHeight="true" outlineLevel="0" collapsed="false">
      <c r="A87" s="66" t="n">
        <v>85</v>
      </c>
      <c r="B87" s="66" t="s">
        <v>116</v>
      </c>
      <c r="C87" s="66" t="s">
        <v>625</v>
      </c>
      <c r="D87" s="66" t="s">
        <v>545</v>
      </c>
      <c r="E87" s="66" t="s">
        <v>963</v>
      </c>
      <c r="F87" s="8" t="s">
        <v>1049</v>
      </c>
      <c r="G87" s="66" t="s">
        <v>638</v>
      </c>
      <c r="H87" s="66" t="s">
        <v>639</v>
      </c>
      <c r="I87" s="66"/>
      <c r="J87" s="8"/>
      <c r="K87" s="8"/>
    </row>
    <row r="88" customFormat="false" ht="45.75" hidden="false" customHeight="true" outlineLevel="0" collapsed="false">
      <c r="A88" s="66" t="n">
        <v>86</v>
      </c>
      <c r="B88" s="66" t="s">
        <v>116</v>
      </c>
      <c r="C88" s="66" t="s">
        <v>625</v>
      </c>
      <c r="D88" s="66" t="s">
        <v>545</v>
      </c>
      <c r="E88" s="66" t="s">
        <v>965</v>
      </c>
      <c r="F88" s="8" t="s">
        <v>1050</v>
      </c>
      <c r="G88" s="66" t="s">
        <v>638</v>
      </c>
      <c r="H88" s="66" t="s">
        <v>639</v>
      </c>
      <c r="I88" s="66"/>
      <c r="J88" s="8"/>
      <c r="K88" s="8"/>
    </row>
    <row r="89" customFormat="false" ht="34.5" hidden="false" customHeight="true" outlineLevel="0" collapsed="false">
      <c r="A89" s="66" t="n">
        <v>87</v>
      </c>
      <c r="B89" s="66" t="s">
        <v>116</v>
      </c>
      <c r="C89" s="66" t="s">
        <v>625</v>
      </c>
      <c r="D89" s="66" t="s">
        <v>640</v>
      </c>
      <c r="E89" s="66" t="s">
        <v>963</v>
      </c>
      <c r="F89" s="8" t="s">
        <v>1051</v>
      </c>
      <c r="G89" s="66" t="s">
        <v>642</v>
      </c>
      <c r="H89" s="66" t="s">
        <v>643</v>
      </c>
      <c r="I89" s="66"/>
      <c r="J89" s="8"/>
      <c r="K89" s="8"/>
    </row>
    <row r="90" customFormat="false" ht="45.75" hidden="false" customHeight="true" outlineLevel="0" collapsed="false">
      <c r="A90" s="66" t="n">
        <v>88</v>
      </c>
      <c r="B90" s="66" t="s">
        <v>116</v>
      </c>
      <c r="C90" s="66" t="s">
        <v>625</v>
      </c>
      <c r="D90" s="66" t="s">
        <v>640</v>
      </c>
      <c r="E90" s="66" t="s">
        <v>965</v>
      </c>
      <c r="F90" s="8" t="s">
        <v>1052</v>
      </c>
      <c r="G90" s="66" t="s">
        <v>642</v>
      </c>
      <c r="H90" s="66" t="s">
        <v>643</v>
      </c>
      <c r="I90" s="66"/>
      <c r="J90" s="8"/>
      <c r="K90" s="8"/>
    </row>
    <row r="91" customFormat="false" ht="34.5" hidden="false" customHeight="true" outlineLevel="0" collapsed="false">
      <c r="A91" s="66" t="n">
        <v>89</v>
      </c>
      <c r="B91" s="66" t="s">
        <v>116</v>
      </c>
      <c r="C91" s="66" t="s">
        <v>625</v>
      </c>
      <c r="D91" s="66" t="s">
        <v>644</v>
      </c>
      <c r="E91" s="66" t="s">
        <v>963</v>
      </c>
      <c r="F91" s="8" t="s">
        <v>1053</v>
      </c>
      <c r="G91" s="66" t="s">
        <v>614</v>
      </c>
      <c r="H91" s="66" t="s">
        <v>646</v>
      </c>
      <c r="I91" s="66"/>
      <c r="J91" s="8"/>
      <c r="K91" s="8"/>
    </row>
    <row r="92" customFormat="false" ht="45.75" hidden="false" customHeight="true" outlineLevel="0" collapsed="false">
      <c r="A92" s="66" t="n">
        <v>90</v>
      </c>
      <c r="B92" s="66" t="s">
        <v>116</v>
      </c>
      <c r="C92" s="66" t="s">
        <v>625</v>
      </c>
      <c r="D92" s="66" t="s">
        <v>644</v>
      </c>
      <c r="E92" s="66" t="s">
        <v>965</v>
      </c>
      <c r="F92" s="8" t="s">
        <v>1054</v>
      </c>
      <c r="G92" s="66" t="s">
        <v>614</v>
      </c>
      <c r="H92" s="66" t="s">
        <v>646</v>
      </c>
      <c r="I92" s="66"/>
      <c r="J92" s="8"/>
      <c r="K92" s="8"/>
    </row>
    <row r="93" customFormat="false" ht="34.5" hidden="false" customHeight="true" outlineLevel="0" collapsed="false">
      <c r="A93" s="66" t="n">
        <v>91</v>
      </c>
      <c r="B93" s="66" t="s">
        <v>116</v>
      </c>
      <c r="C93" s="66" t="s">
        <v>625</v>
      </c>
      <c r="D93" s="66" t="s">
        <v>647</v>
      </c>
      <c r="E93" s="66" t="s">
        <v>963</v>
      </c>
      <c r="F93" s="8" t="s">
        <v>1055</v>
      </c>
      <c r="G93" s="66" t="s">
        <v>555</v>
      </c>
      <c r="H93" s="66" t="s">
        <v>649</v>
      </c>
      <c r="I93" s="66"/>
      <c r="J93" s="8"/>
      <c r="K93" s="8"/>
    </row>
    <row r="94" customFormat="false" ht="45.75" hidden="false" customHeight="true" outlineLevel="0" collapsed="false">
      <c r="A94" s="66" t="n">
        <v>92</v>
      </c>
      <c r="B94" s="66" t="s">
        <v>116</v>
      </c>
      <c r="C94" s="66" t="s">
        <v>625</v>
      </c>
      <c r="D94" s="66" t="s">
        <v>647</v>
      </c>
      <c r="E94" s="66" t="s">
        <v>965</v>
      </c>
      <c r="F94" s="8" t="s">
        <v>1056</v>
      </c>
      <c r="G94" s="66" t="s">
        <v>555</v>
      </c>
      <c r="H94" s="66" t="s">
        <v>649</v>
      </c>
      <c r="I94" s="66"/>
      <c r="J94" s="8"/>
      <c r="K94" s="8"/>
    </row>
    <row r="95" customFormat="false" ht="34.5" hidden="false" customHeight="true" outlineLevel="0" collapsed="false">
      <c r="A95" s="66" t="n">
        <v>93</v>
      </c>
      <c r="B95" s="66" t="s">
        <v>116</v>
      </c>
      <c r="C95" s="66" t="s">
        <v>625</v>
      </c>
      <c r="D95" s="66" t="s">
        <v>650</v>
      </c>
      <c r="E95" s="66" t="s">
        <v>963</v>
      </c>
      <c r="F95" s="8" t="s">
        <v>1057</v>
      </c>
      <c r="G95" s="66" t="s">
        <v>652</v>
      </c>
      <c r="H95" s="66" t="s">
        <v>653</v>
      </c>
      <c r="I95" s="66"/>
      <c r="J95" s="8"/>
      <c r="K95" s="8"/>
    </row>
    <row r="96" customFormat="false" ht="45.75" hidden="false" customHeight="true" outlineLevel="0" collapsed="false">
      <c r="A96" s="66" t="n">
        <v>94</v>
      </c>
      <c r="B96" s="66" t="s">
        <v>116</v>
      </c>
      <c r="C96" s="66" t="s">
        <v>625</v>
      </c>
      <c r="D96" s="66" t="s">
        <v>650</v>
      </c>
      <c r="E96" s="66" t="s">
        <v>965</v>
      </c>
      <c r="F96" s="8" t="s">
        <v>1058</v>
      </c>
      <c r="G96" s="66" t="s">
        <v>652</v>
      </c>
      <c r="H96" s="66" t="s">
        <v>653</v>
      </c>
      <c r="I96" s="66"/>
      <c r="J96" s="8"/>
      <c r="K96" s="8"/>
    </row>
    <row r="97" customFormat="false" ht="34.5" hidden="false" customHeight="true" outlineLevel="0" collapsed="false">
      <c r="A97" s="66" t="n">
        <v>95</v>
      </c>
      <c r="B97" s="66" t="s">
        <v>116</v>
      </c>
      <c r="C97" s="66" t="s">
        <v>625</v>
      </c>
      <c r="D97" s="66" t="s">
        <v>654</v>
      </c>
      <c r="E97" s="66" t="s">
        <v>963</v>
      </c>
      <c r="F97" s="8" t="s">
        <v>1059</v>
      </c>
      <c r="G97" s="66" t="s">
        <v>656</v>
      </c>
      <c r="H97" s="66" t="s">
        <v>657</v>
      </c>
      <c r="I97" s="66"/>
      <c r="J97" s="8"/>
      <c r="K97" s="8"/>
    </row>
    <row r="98" customFormat="false" ht="45.75" hidden="false" customHeight="true" outlineLevel="0" collapsed="false">
      <c r="A98" s="66" t="n">
        <v>96</v>
      </c>
      <c r="B98" s="66" t="s">
        <v>116</v>
      </c>
      <c r="C98" s="66" t="s">
        <v>625</v>
      </c>
      <c r="D98" s="66" t="s">
        <v>654</v>
      </c>
      <c r="E98" s="66" t="s">
        <v>965</v>
      </c>
      <c r="F98" s="8" t="s">
        <v>1060</v>
      </c>
      <c r="G98" s="66" t="s">
        <v>656</v>
      </c>
      <c r="H98" s="66" t="s">
        <v>657</v>
      </c>
      <c r="I98" s="66"/>
      <c r="J98" s="8"/>
      <c r="K98" s="8"/>
    </row>
    <row r="99" customFormat="false" ht="34.5" hidden="false" customHeight="true" outlineLevel="0" collapsed="false">
      <c r="A99" s="66" t="n">
        <v>97</v>
      </c>
      <c r="B99" s="66" t="s">
        <v>116</v>
      </c>
      <c r="C99" s="66" t="s">
        <v>625</v>
      </c>
      <c r="D99" s="66" t="s">
        <v>658</v>
      </c>
      <c r="E99" s="66" t="s">
        <v>963</v>
      </c>
      <c r="F99" s="8" t="s">
        <v>1061</v>
      </c>
      <c r="G99" s="66" t="s">
        <v>592</v>
      </c>
      <c r="H99" s="66" t="s">
        <v>660</v>
      </c>
      <c r="I99" s="66"/>
      <c r="J99" s="8"/>
      <c r="K99" s="8"/>
    </row>
    <row r="100" customFormat="false" ht="45.75" hidden="false" customHeight="true" outlineLevel="0" collapsed="false">
      <c r="A100" s="66" t="n">
        <v>98</v>
      </c>
      <c r="B100" s="66" t="s">
        <v>116</v>
      </c>
      <c r="C100" s="66" t="s">
        <v>625</v>
      </c>
      <c r="D100" s="66" t="s">
        <v>658</v>
      </c>
      <c r="E100" s="66" t="s">
        <v>965</v>
      </c>
      <c r="F100" s="8" t="s">
        <v>1062</v>
      </c>
      <c r="G100" s="66" t="s">
        <v>592</v>
      </c>
      <c r="H100" s="66" t="s">
        <v>660</v>
      </c>
      <c r="I100" s="66"/>
      <c r="J100" s="8"/>
      <c r="K100" s="8"/>
    </row>
    <row r="101" customFormat="false" ht="34.5" hidden="false" customHeight="true" outlineLevel="0" collapsed="false">
      <c r="A101" s="66" t="n">
        <v>99</v>
      </c>
      <c r="B101" s="66" t="s">
        <v>116</v>
      </c>
      <c r="C101" s="66" t="s">
        <v>625</v>
      </c>
      <c r="D101" s="66" t="s">
        <v>661</v>
      </c>
      <c r="E101" s="66" t="s">
        <v>963</v>
      </c>
      <c r="F101" s="8" t="s">
        <v>1063</v>
      </c>
      <c r="G101" s="66" t="s">
        <v>663</v>
      </c>
      <c r="H101" s="66" t="s">
        <v>664</v>
      </c>
      <c r="I101" s="66"/>
      <c r="J101" s="8"/>
      <c r="K101" s="8"/>
    </row>
    <row r="102" customFormat="false" ht="45.75" hidden="false" customHeight="true" outlineLevel="0" collapsed="false">
      <c r="A102" s="66" t="n">
        <v>100</v>
      </c>
      <c r="B102" s="66" t="s">
        <v>116</v>
      </c>
      <c r="C102" s="66" t="s">
        <v>625</v>
      </c>
      <c r="D102" s="66" t="s">
        <v>661</v>
      </c>
      <c r="E102" s="66" t="s">
        <v>965</v>
      </c>
      <c r="F102" s="8" t="s">
        <v>1064</v>
      </c>
      <c r="G102" s="66" t="s">
        <v>663</v>
      </c>
      <c r="H102" s="66" t="s">
        <v>664</v>
      </c>
      <c r="I102" s="66"/>
      <c r="J102" s="8"/>
      <c r="K102" s="8"/>
    </row>
    <row r="103" customFormat="false" ht="34.5" hidden="false" customHeight="true" outlineLevel="0" collapsed="false">
      <c r="A103" s="66" t="n">
        <v>101</v>
      </c>
      <c r="B103" s="66" t="s">
        <v>116</v>
      </c>
      <c r="C103" s="66" t="s">
        <v>625</v>
      </c>
      <c r="D103" s="66" t="s">
        <v>665</v>
      </c>
      <c r="E103" s="66" t="s">
        <v>963</v>
      </c>
      <c r="F103" s="8" t="s">
        <v>1065</v>
      </c>
      <c r="G103" s="66" t="s">
        <v>667</v>
      </c>
      <c r="H103" s="66" t="s">
        <v>668</v>
      </c>
      <c r="I103" s="66"/>
      <c r="J103" s="8"/>
      <c r="K103" s="8"/>
    </row>
    <row r="104" customFormat="false" ht="45.75" hidden="false" customHeight="true" outlineLevel="0" collapsed="false">
      <c r="A104" s="66" t="n">
        <v>102</v>
      </c>
      <c r="B104" s="66" t="s">
        <v>116</v>
      </c>
      <c r="C104" s="66" t="s">
        <v>625</v>
      </c>
      <c r="D104" s="66" t="s">
        <v>665</v>
      </c>
      <c r="E104" s="66" t="s">
        <v>965</v>
      </c>
      <c r="F104" s="8" t="s">
        <v>1066</v>
      </c>
      <c r="G104" s="66" t="s">
        <v>667</v>
      </c>
      <c r="H104" s="66" t="s">
        <v>668</v>
      </c>
      <c r="I104" s="66"/>
      <c r="J104" s="8"/>
      <c r="K104" s="8"/>
    </row>
    <row r="105" customFormat="false" ht="34.5" hidden="false" customHeight="true" outlineLevel="0" collapsed="false">
      <c r="A105" s="66" t="n">
        <v>103</v>
      </c>
      <c r="B105" s="66" t="s">
        <v>116</v>
      </c>
      <c r="C105" s="66" t="s">
        <v>625</v>
      </c>
      <c r="D105" s="66" t="s">
        <v>669</v>
      </c>
      <c r="E105" s="66" t="s">
        <v>963</v>
      </c>
      <c r="F105" s="8" t="s">
        <v>1067</v>
      </c>
      <c r="G105" s="66" t="s">
        <v>671</v>
      </c>
      <c r="H105" s="66" t="s">
        <v>573</v>
      </c>
      <c r="I105" s="66"/>
      <c r="J105" s="8"/>
      <c r="K105" s="8"/>
    </row>
    <row r="106" customFormat="false" ht="45.75" hidden="false" customHeight="true" outlineLevel="0" collapsed="false">
      <c r="A106" s="66" t="n">
        <v>104</v>
      </c>
      <c r="B106" s="66" t="s">
        <v>116</v>
      </c>
      <c r="C106" s="66" t="s">
        <v>625</v>
      </c>
      <c r="D106" s="66" t="s">
        <v>669</v>
      </c>
      <c r="E106" s="66" t="s">
        <v>965</v>
      </c>
      <c r="F106" s="8" t="s">
        <v>1068</v>
      </c>
      <c r="G106" s="66" t="s">
        <v>671</v>
      </c>
      <c r="H106" s="66" t="s">
        <v>573</v>
      </c>
      <c r="I106" s="66"/>
      <c r="J106" s="8"/>
      <c r="K106" s="8"/>
    </row>
    <row r="107" customFormat="false" ht="34.5" hidden="false" customHeight="true" outlineLevel="0" collapsed="false">
      <c r="A107" s="66" t="n">
        <v>105</v>
      </c>
      <c r="B107" s="66" t="s">
        <v>116</v>
      </c>
      <c r="C107" s="66" t="s">
        <v>625</v>
      </c>
      <c r="D107" s="66" t="s">
        <v>672</v>
      </c>
      <c r="E107" s="66" t="s">
        <v>963</v>
      </c>
      <c r="F107" s="8" t="s">
        <v>1069</v>
      </c>
      <c r="G107" s="66" t="s">
        <v>568</v>
      </c>
      <c r="H107" s="66" t="s">
        <v>674</v>
      </c>
      <c r="I107" s="66"/>
      <c r="J107" s="8"/>
      <c r="K107" s="8"/>
    </row>
    <row r="108" customFormat="false" ht="45.75" hidden="false" customHeight="true" outlineLevel="0" collapsed="false">
      <c r="A108" s="66" t="n">
        <v>106</v>
      </c>
      <c r="B108" s="66" t="s">
        <v>116</v>
      </c>
      <c r="C108" s="66" t="s">
        <v>625</v>
      </c>
      <c r="D108" s="66" t="s">
        <v>672</v>
      </c>
      <c r="E108" s="66" t="s">
        <v>965</v>
      </c>
      <c r="F108" s="8" t="s">
        <v>1070</v>
      </c>
      <c r="G108" s="66" t="s">
        <v>568</v>
      </c>
      <c r="H108" s="66" t="s">
        <v>674</v>
      </c>
      <c r="I108" s="66"/>
      <c r="J108" s="8"/>
      <c r="K108" s="8"/>
    </row>
    <row r="109" customFormat="false" ht="34.5" hidden="false" customHeight="true" outlineLevel="0" collapsed="false">
      <c r="A109" s="66" t="n">
        <v>107</v>
      </c>
      <c r="B109" s="66" t="s">
        <v>116</v>
      </c>
      <c r="C109" s="66" t="s">
        <v>625</v>
      </c>
      <c r="D109" s="66" t="s">
        <v>549</v>
      </c>
      <c r="E109" s="66" t="s">
        <v>963</v>
      </c>
      <c r="F109" s="8" t="s">
        <v>1071</v>
      </c>
      <c r="G109" s="66" t="s">
        <v>671</v>
      </c>
      <c r="H109" s="66" t="s">
        <v>573</v>
      </c>
      <c r="I109" s="66"/>
      <c r="J109" s="8"/>
      <c r="K109" s="8"/>
    </row>
    <row r="110" customFormat="false" ht="45.75" hidden="false" customHeight="true" outlineLevel="0" collapsed="false">
      <c r="A110" s="66" t="n">
        <v>108</v>
      </c>
      <c r="B110" s="66" t="s">
        <v>116</v>
      </c>
      <c r="C110" s="66" t="s">
        <v>625</v>
      </c>
      <c r="D110" s="66" t="s">
        <v>549</v>
      </c>
      <c r="E110" s="66" t="s">
        <v>965</v>
      </c>
      <c r="F110" s="8" t="s">
        <v>1072</v>
      </c>
      <c r="G110" s="66" t="s">
        <v>671</v>
      </c>
      <c r="H110" s="66" t="s">
        <v>573</v>
      </c>
      <c r="I110" s="66"/>
      <c r="J110" s="8"/>
      <c r="K110" s="8"/>
    </row>
    <row r="111" customFormat="false" ht="34.5" hidden="false" customHeight="true" outlineLevel="0" collapsed="false">
      <c r="A111" s="66" t="n">
        <v>109</v>
      </c>
      <c r="B111" s="66" t="s">
        <v>116</v>
      </c>
      <c r="C111" s="66" t="s">
        <v>625</v>
      </c>
      <c r="D111" s="66" t="s">
        <v>553</v>
      </c>
      <c r="E111" s="66" t="s">
        <v>963</v>
      </c>
      <c r="F111" s="8" t="s">
        <v>1073</v>
      </c>
      <c r="G111" s="66" t="s">
        <v>510</v>
      </c>
      <c r="H111" s="66" t="s">
        <v>677</v>
      </c>
      <c r="I111" s="66"/>
      <c r="J111" s="8"/>
      <c r="K111" s="8"/>
    </row>
    <row r="112" customFormat="false" ht="45.75" hidden="false" customHeight="true" outlineLevel="0" collapsed="false">
      <c r="A112" s="66" t="n">
        <v>110</v>
      </c>
      <c r="B112" s="66" t="s">
        <v>116</v>
      </c>
      <c r="C112" s="66" t="s">
        <v>625</v>
      </c>
      <c r="D112" s="66" t="s">
        <v>553</v>
      </c>
      <c r="E112" s="66" t="s">
        <v>965</v>
      </c>
      <c r="F112" s="8" t="s">
        <v>1074</v>
      </c>
      <c r="G112" s="66" t="s">
        <v>510</v>
      </c>
      <c r="H112" s="66" t="s">
        <v>677</v>
      </c>
      <c r="I112" s="66"/>
      <c r="J112" s="8"/>
      <c r="K112" s="8"/>
    </row>
    <row r="113" customFormat="false" ht="34.5" hidden="false" customHeight="true" outlineLevel="0" collapsed="false">
      <c r="A113" s="66" t="n">
        <v>111</v>
      </c>
      <c r="B113" s="66" t="s">
        <v>116</v>
      </c>
      <c r="C113" s="66" t="s">
        <v>625</v>
      </c>
      <c r="D113" s="66" t="s">
        <v>609</v>
      </c>
      <c r="E113" s="66" t="s">
        <v>963</v>
      </c>
      <c r="F113" s="8" t="s">
        <v>1075</v>
      </c>
      <c r="G113" s="66" t="s">
        <v>572</v>
      </c>
      <c r="H113" s="66" t="s">
        <v>679</v>
      </c>
      <c r="I113" s="66"/>
      <c r="J113" s="8"/>
      <c r="K113" s="8"/>
    </row>
    <row r="114" customFormat="false" ht="45.75" hidden="false" customHeight="true" outlineLevel="0" collapsed="false">
      <c r="A114" s="66" t="n">
        <v>112</v>
      </c>
      <c r="B114" s="66" t="s">
        <v>116</v>
      </c>
      <c r="C114" s="66" t="s">
        <v>625</v>
      </c>
      <c r="D114" s="66" t="s">
        <v>609</v>
      </c>
      <c r="E114" s="66" t="s">
        <v>965</v>
      </c>
      <c r="F114" s="8" t="s">
        <v>1076</v>
      </c>
      <c r="G114" s="66" t="s">
        <v>572</v>
      </c>
      <c r="H114" s="66" t="s">
        <v>679</v>
      </c>
      <c r="I114" s="66"/>
      <c r="J114" s="8"/>
      <c r="K114" s="8"/>
    </row>
    <row r="115" customFormat="false" ht="34.5" hidden="false" customHeight="true" outlineLevel="0" collapsed="false">
      <c r="A115" s="66" t="n">
        <v>113</v>
      </c>
      <c r="B115" s="66" t="s">
        <v>116</v>
      </c>
      <c r="C115" s="66" t="s">
        <v>625</v>
      </c>
      <c r="D115" s="66" t="s">
        <v>557</v>
      </c>
      <c r="E115" s="66" t="s">
        <v>963</v>
      </c>
      <c r="F115" s="8" t="s">
        <v>1077</v>
      </c>
      <c r="G115" s="66" t="s">
        <v>510</v>
      </c>
      <c r="H115" s="66" t="s">
        <v>536</v>
      </c>
      <c r="I115" s="66"/>
      <c r="J115" s="8"/>
      <c r="K115" s="8"/>
    </row>
    <row r="116" customFormat="false" ht="45.75" hidden="false" customHeight="true" outlineLevel="0" collapsed="false">
      <c r="A116" s="66" t="n">
        <v>114</v>
      </c>
      <c r="B116" s="66" t="s">
        <v>116</v>
      </c>
      <c r="C116" s="66" t="s">
        <v>625</v>
      </c>
      <c r="D116" s="66" t="s">
        <v>557</v>
      </c>
      <c r="E116" s="66" t="s">
        <v>965</v>
      </c>
      <c r="F116" s="8" t="s">
        <v>1078</v>
      </c>
      <c r="G116" s="66" t="s">
        <v>510</v>
      </c>
      <c r="H116" s="66" t="s">
        <v>536</v>
      </c>
      <c r="I116" s="66"/>
      <c r="J116" s="8"/>
      <c r="K116" s="8"/>
    </row>
    <row r="117" customFormat="false" ht="34.5" hidden="false" customHeight="true" outlineLevel="0" collapsed="false">
      <c r="A117" s="66" t="n">
        <v>115</v>
      </c>
      <c r="B117" s="66" t="s">
        <v>116</v>
      </c>
      <c r="C117" s="66" t="s">
        <v>625</v>
      </c>
      <c r="D117" s="66" t="s">
        <v>559</v>
      </c>
      <c r="E117" s="66" t="s">
        <v>963</v>
      </c>
      <c r="F117" s="8" t="s">
        <v>1079</v>
      </c>
      <c r="G117" s="66" t="s">
        <v>682</v>
      </c>
      <c r="H117" s="66" t="s">
        <v>573</v>
      </c>
      <c r="I117" s="66"/>
      <c r="J117" s="8"/>
      <c r="K117" s="8"/>
    </row>
    <row r="118" customFormat="false" ht="45.75" hidden="false" customHeight="true" outlineLevel="0" collapsed="false">
      <c r="A118" s="66" t="n">
        <v>116</v>
      </c>
      <c r="B118" s="66" t="s">
        <v>116</v>
      </c>
      <c r="C118" s="66" t="s">
        <v>625</v>
      </c>
      <c r="D118" s="66" t="s">
        <v>559</v>
      </c>
      <c r="E118" s="66" t="s">
        <v>965</v>
      </c>
      <c r="F118" s="8" t="s">
        <v>1080</v>
      </c>
      <c r="G118" s="66" t="s">
        <v>682</v>
      </c>
      <c r="H118" s="66" t="s">
        <v>573</v>
      </c>
      <c r="I118" s="66"/>
      <c r="J118" s="8"/>
      <c r="K118" s="8"/>
    </row>
    <row r="119" customFormat="false" ht="34.5" hidden="false" customHeight="true" outlineLevel="0" collapsed="false">
      <c r="A119" s="66" t="n">
        <v>117</v>
      </c>
      <c r="B119" s="66" t="s">
        <v>116</v>
      </c>
      <c r="C119" s="66" t="s">
        <v>625</v>
      </c>
      <c r="D119" s="66" t="s">
        <v>563</v>
      </c>
      <c r="E119" s="66" t="s">
        <v>963</v>
      </c>
      <c r="F119" s="8" t="s">
        <v>1081</v>
      </c>
      <c r="G119" s="66" t="s">
        <v>684</v>
      </c>
      <c r="H119" s="66" t="s">
        <v>679</v>
      </c>
      <c r="I119" s="66"/>
      <c r="J119" s="8"/>
      <c r="K119" s="8"/>
    </row>
    <row r="120" customFormat="false" ht="45.75" hidden="false" customHeight="true" outlineLevel="0" collapsed="false">
      <c r="A120" s="66" t="n">
        <v>118</v>
      </c>
      <c r="B120" s="66" t="s">
        <v>116</v>
      </c>
      <c r="C120" s="66" t="s">
        <v>625</v>
      </c>
      <c r="D120" s="66" t="s">
        <v>563</v>
      </c>
      <c r="E120" s="66" t="s">
        <v>965</v>
      </c>
      <c r="F120" s="8" t="s">
        <v>1082</v>
      </c>
      <c r="G120" s="66" t="s">
        <v>684</v>
      </c>
      <c r="H120" s="66" t="s">
        <v>679</v>
      </c>
      <c r="I120" s="66"/>
      <c r="J120" s="8"/>
      <c r="K120" s="8"/>
    </row>
    <row r="121" customFormat="false" ht="23.25" hidden="false" customHeight="true" outlineLevel="0" collapsed="false">
      <c r="A121" s="66" t="n">
        <v>119</v>
      </c>
      <c r="B121" s="66" t="s">
        <v>117</v>
      </c>
      <c r="C121" s="66" t="s">
        <v>685</v>
      </c>
      <c r="D121" s="66" t="s">
        <v>478</v>
      </c>
      <c r="E121" s="66" t="s">
        <v>963</v>
      </c>
      <c r="F121" s="8" t="s">
        <v>1083</v>
      </c>
      <c r="G121" s="66" t="s">
        <v>589</v>
      </c>
      <c r="H121" s="66" t="s">
        <v>687</v>
      </c>
      <c r="I121" s="66"/>
      <c r="J121" s="8"/>
      <c r="K121" s="8"/>
    </row>
    <row r="122" customFormat="false" ht="45.75" hidden="false" customHeight="true" outlineLevel="0" collapsed="false">
      <c r="A122" s="66" t="n">
        <v>120</v>
      </c>
      <c r="B122" s="66" t="s">
        <v>117</v>
      </c>
      <c r="C122" s="66" t="s">
        <v>685</v>
      </c>
      <c r="D122" s="66" t="s">
        <v>478</v>
      </c>
      <c r="E122" s="66" t="s">
        <v>965</v>
      </c>
      <c r="F122" s="8" t="s">
        <v>1084</v>
      </c>
      <c r="G122" s="66" t="s">
        <v>589</v>
      </c>
      <c r="H122" s="66" t="s">
        <v>687</v>
      </c>
      <c r="I122" s="66"/>
      <c r="J122" s="8"/>
      <c r="K122" s="8"/>
    </row>
    <row r="123" customFormat="false" ht="34.5" hidden="false" customHeight="true" outlineLevel="0" collapsed="false">
      <c r="A123" s="66" t="n">
        <v>121</v>
      </c>
      <c r="B123" s="66" t="s">
        <v>117</v>
      </c>
      <c r="C123" s="66" t="s">
        <v>685</v>
      </c>
      <c r="D123" s="66" t="s">
        <v>489</v>
      </c>
      <c r="E123" s="66" t="s">
        <v>963</v>
      </c>
      <c r="F123" s="8" t="s">
        <v>1085</v>
      </c>
      <c r="G123" s="66" t="s">
        <v>589</v>
      </c>
      <c r="H123" s="66" t="s">
        <v>492</v>
      </c>
      <c r="I123" s="66"/>
      <c r="J123" s="8"/>
      <c r="K123" s="8"/>
    </row>
    <row r="124" customFormat="false" ht="45.75" hidden="false" customHeight="true" outlineLevel="0" collapsed="false">
      <c r="A124" s="66" t="n">
        <v>122</v>
      </c>
      <c r="B124" s="66" t="s">
        <v>117</v>
      </c>
      <c r="C124" s="66" t="s">
        <v>685</v>
      </c>
      <c r="D124" s="66" t="s">
        <v>489</v>
      </c>
      <c r="E124" s="66" t="s">
        <v>965</v>
      </c>
      <c r="F124" s="8" t="s">
        <v>1086</v>
      </c>
      <c r="G124" s="66" t="s">
        <v>589</v>
      </c>
      <c r="H124" s="66" t="s">
        <v>492</v>
      </c>
      <c r="I124" s="66"/>
      <c r="J124" s="8"/>
      <c r="K124" s="8"/>
    </row>
    <row r="125" customFormat="false" ht="34.5" hidden="false" customHeight="true" outlineLevel="0" collapsed="false">
      <c r="A125" s="66" t="n">
        <v>123</v>
      </c>
      <c r="B125" s="66" t="s">
        <v>117</v>
      </c>
      <c r="C125" s="66" t="s">
        <v>685</v>
      </c>
      <c r="D125" s="66" t="s">
        <v>499</v>
      </c>
      <c r="E125" s="66" t="s">
        <v>963</v>
      </c>
      <c r="F125" s="8" t="s">
        <v>1087</v>
      </c>
      <c r="G125" s="66" t="s">
        <v>561</v>
      </c>
      <c r="H125" s="66" t="s">
        <v>562</v>
      </c>
      <c r="I125" s="66"/>
      <c r="J125" s="8"/>
      <c r="K125" s="8"/>
    </row>
    <row r="126" customFormat="false" ht="45.75" hidden="false" customHeight="true" outlineLevel="0" collapsed="false">
      <c r="A126" s="66" t="n">
        <v>124</v>
      </c>
      <c r="B126" s="66" t="s">
        <v>117</v>
      </c>
      <c r="C126" s="66" t="s">
        <v>685</v>
      </c>
      <c r="D126" s="66" t="s">
        <v>499</v>
      </c>
      <c r="E126" s="66" t="s">
        <v>965</v>
      </c>
      <c r="F126" s="8" t="s">
        <v>1088</v>
      </c>
      <c r="G126" s="66" t="s">
        <v>561</v>
      </c>
      <c r="H126" s="66" t="s">
        <v>562</v>
      </c>
      <c r="I126" s="66"/>
      <c r="J126" s="8"/>
      <c r="K126" s="8"/>
    </row>
    <row r="127" customFormat="false" ht="34.5" hidden="false" customHeight="true" outlineLevel="0" collapsed="false">
      <c r="A127" s="66" t="n">
        <v>125</v>
      </c>
      <c r="B127" s="66" t="s">
        <v>117</v>
      </c>
      <c r="C127" s="66" t="s">
        <v>685</v>
      </c>
      <c r="D127" s="66" t="s">
        <v>508</v>
      </c>
      <c r="E127" s="66" t="s">
        <v>963</v>
      </c>
      <c r="F127" s="8" t="s">
        <v>1089</v>
      </c>
      <c r="G127" s="66" t="s">
        <v>684</v>
      </c>
      <c r="H127" s="66" t="s">
        <v>679</v>
      </c>
      <c r="I127" s="66"/>
      <c r="J127" s="8"/>
      <c r="K127" s="8"/>
    </row>
    <row r="128" customFormat="false" ht="45.75" hidden="false" customHeight="true" outlineLevel="0" collapsed="false">
      <c r="A128" s="66" t="n">
        <v>126</v>
      </c>
      <c r="B128" s="66" t="s">
        <v>117</v>
      </c>
      <c r="C128" s="66" t="s">
        <v>685</v>
      </c>
      <c r="D128" s="66" t="s">
        <v>508</v>
      </c>
      <c r="E128" s="66" t="s">
        <v>965</v>
      </c>
      <c r="F128" s="8" t="s">
        <v>1090</v>
      </c>
      <c r="G128" s="66" t="s">
        <v>684</v>
      </c>
      <c r="H128" s="66" t="s">
        <v>679</v>
      </c>
      <c r="I128" s="66"/>
      <c r="J128" s="8"/>
      <c r="K128" s="8"/>
    </row>
    <row r="129" customFormat="false" ht="34.5" hidden="false" customHeight="true" outlineLevel="0" collapsed="false">
      <c r="A129" s="66" t="n">
        <v>127</v>
      </c>
      <c r="B129" s="66" t="s">
        <v>117</v>
      </c>
      <c r="C129" s="66" t="s">
        <v>685</v>
      </c>
      <c r="D129" s="66" t="s">
        <v>537</v>
      </c>
      <c r="E129" s="66" t="s">
        <v>963</v>
      </c>
      <c r="F129" s="8" t="s">
        <v>1091</v>
      </c>
      <c r="G129" s="66" t="s">
        <v>551</v>
      </c>
      <c r="H129" s="66" t="s">
        <v>692</v>
      </c>
      <c r="I129" s="66"/>
      <c r="J129" s="8"/>
      <c r="K129" s="8"/>
    </row>
    <row r="130" customFormat="false" ht="45.75" hidden="false" customHeight="true" outlineLevel="0" collapsed="false">
      <c r="A130" s="66" t="n">
        <v>128</v>
      </c>
      <c r="B130" s="66" t="s">
        <v>117</v>
      </c>
      <c r="C130" s="66" t="s">
        <v>685</v>
      </c>
      <c r="D130" s="66" t="s">
        <v>537</v>
      </c>
      <c r="E130" s="66" t="s">
        <v>965</v>
      </c>
      <c r="F130" s="8" t="s">
        <v>1092</v>
      </c>
      <c r="G130" s="66" t="s">
        <v>551</v>
      </c>
      <c r="H130" s="66" t="s">
        <v>692</v>
      </c>
      <c r="I130" s="66"/>
      <c r="J130" s="8"/>
      <c r="K130" s="8"/>
    </row>
    <row r="131" customFormat="false" ht="34.5" hidden="false" customHeight="true" outlineLevel="0" collapsed="false">
      <c r="A131" s="66" t="n">
        <v>129</v>
      </c>
      <c r="B131" s="66" t="s">
        <v>117</v>
      </c>
      <c r="C131" s="66" t="s">
        <v>685</v>
      </c>
      <c r="D131" s="66" t="s">
        <v>541</v>
      </c>
      <c r="E131" s="66" t="s">
        <v>963</v>
      </c>
      <c r="F131" s="8" t="s">
        <v>1093</v>
      </c>
      <c r="G131" s="66" t="s">
        <v>684</v>
      </c>
      <c r="H131" s="66" t="s">
        <v>679</v>
      </c>
      <c r="I131" s="66"/>
      <c r="J131" s="8"/>
      <c r="K131" s="8"/>
    </row>
    <row r="132" customFormat="false" ht="45.75" hidden="false" customHeight="true" outlineLevel="0" collapsed="false">
      <c r="A132" s="66" t="n">
        <v>130</v>
      </c>
      <c r="B132" s="66" t="s">
        <v>117</v>
      </c>
      <c r="C132" s="66" t="s">
        <v>685</v>
      </c>
      <c r="D132" s="66" t="s">
        <v>541</v>
      </c>
      <c r="E132" s="66" t="s">
        <v>965</v>
      </c>
      <c r="F132" s="8" t="s">
        <v>1094</v>
      </c>
      <c r="G132" s="66" t="s">
        <v>684</v>
      </c>
      <c r="H132" s="66" t="s">
        <v>679</v>
      </c>
      <c r="I132" s="66"/>
      <c r="J132" s="8"/>
      <c r="K132" s="8"/>
    </row>
    <row r="133" customFormat="false" ht="34.5" hidden="false" customHeight="true" outlineLevel="0" collapsed="false">
      <c r="A133" s="66" t="n">
        <v>131</v>
      </c>
      <c r="B133" s="66" t="s">
        <v>117</v>
      </c>
      <c r="C133" s="66" t="s">
        <v>685</v>
      </c>
      <c r="D133" s="66" t="s">
        <v>545</v>
      </c>
      <c r="E133" s="66" t="s">
        <v>963</v>
      </c>
      <c r="F133" s="8" t="s">
        <v>1095</v>
      </c>
      <c r="G133" s="66" t="s">
        <v>561</v>
      </c>
      <c r="H133" s="66" t="s">
        <v>562</v>
      </c>
      <c r="I133" s="66"/>
      <c r="J133" s="8"/>
      <c r="K133" s="8"/>
    </row>
    <row r="134" customFormat="false" ht="45.75" hidden="false" customHeight="true" outlineLevel="0" collapsed="false">
      <c r="A134" s="66" t="n">
        <v>132</v>
      </c>
      <c r="B134" s="66" t="s">
        <v>117</v>
      </c>
      <c r="C134" s="66" t="s">
        <v>685</v>
      </c>
      <c r="D134" s="66" t="s">
        <v>545</v>
      </c>
      <c r="E134" s="66" t="s">
        <v>965</v>
      </c>
      <c r="F134" s="8" t="s">
        <v>1096</v>
      </c>
      <c r="G134" s="66" t="s">
        <v>561</v>
      </c>
      <c r="H134" s="66" t="s">
        <v>562</v>
      </c>
      <c r="I134" s="66"/>
      <c r="J134" s="8"/>
      <c r="K134" s="8"/>
    </row>
    <row r="135" customFormat="false" ht="34.5" hidden="false" customHeight="true" outlineLevel="0" collapsed="false">
      <c r="A135" s="66" t="n">
        <v>133</v>
      </c>
      <c r="B135" s="66" t="s">
        <v>117</v>
      </c>
      <c r="C135" s="66" t="s">
        <v>685</v>
      </c>
      <c r="D135" s="66" t="s">
        <v>640</v>
      </c>
      <c r="E135" s="66" t="s">
        <v>963</v>
      </c>
      <c r="F135" s="8" t="s">
        <v>1097</v>
      </c>
      <c r="G135" s="66" t="s">
        <v>572</v>
      </c>
      <c r="H135" s="66" t="s">
        <v>573</v>
      </c>
      <c r="I135" s="66"/>
      <c r="J135" s="8"/>
      <c r="K135" s="8"/>
    </row>
    <row r="136" customFormat="false" ht="45.75" hidden="false" customHeight="true" outlineLevel="0" collapsed="false">
      <c r="A136" s="66" t="n">
        <v>134</v>
      </c>
      <c r="B136" s="66" t="s">
        <v>117</v>
      </c>
      <c r="C136" s="66" t="s">
        <v>685</v>
      </c>
      <c r="D136" s="66" t="s">
        <v>640</v>
      </c>
      <c r="E136" s="66" t="s">
        <v>965</v>
      </c>
      <c r="F136" s="8" t="s">
        <v>1098</v>
      </c>
      <c r="G136" s="66" t="s">
        <v>572</v>
      </c>
      <c r="H136" s="66" t="s">
        <v>573</v>
      </c>
      <c r="I136" s="66"/>
      <c r="J136" s="8"/>
      <c r="K136" s="8"/>
    </row>
    <row r="137" customFormat="false" ht="34.5" hidden="false" customHeight="true" outlineLevel="0" collapsed="false">
      <c r="A137" s="66" t="n">
        <v>135</v>
      </c>
      <c r="B137" s="66" t="s">
        <v>117</v>
      </c>
      <c r="C137" s="66" t="s">
        <v>685</v>
      </c>
      <c r="D137" s="66" t="s">
        <v>549</v>
      </c>
      <c r="E137" s="66" t="s">
        <v>963</v>
      </c>
      <c r="F137" s="8" t="s">
        <v>1099</v>
      </c>
      <c r="G137" s="66" t="s">
        <v>619</v>
      </c>
      <c r="H137" s="66" t="s">
        <v>581</v>
      </c>
      <c r="I137" s="66"/>
      <c r="J137" s="8"/>
      <c r="K137" s="8"/>
    </row>
    <row r="138" customFormat="false" ht="45.75" hidden="false" customHeight="true" outlineLevel="0" collapsed="false">
      <c r="A138" s="66" t="n">
        <v>136</v>
      </c>
      <c r="B138" s="66" t="s">
        <v>117</v>
      </c>
      <c r="C138" s="66" t="s">
        <v>685</v>
      </c>
      <c r="D138" s="66" t="s">
        <v>549</v>
      </c>
      <c r="E138" s="66" t="s">
        <v>965</v>
      </c>
      <c r="F138" s="8" t="s">
        <v>1100</v>
      </c>
      <c r="G138" s="66" t="s">
        <v>619</v>
      </c>
      <c r="H138" s="66" t="s">
        <v>581</v>
      </c>
      <c r="I138" s="66"/>
      <c r="J138" s="8"/>
      <c r="K138" s="8"/>
    </row>
    <row r="139" customFormat="false" ht="45.75" hidden="false" customHeight="true" outlineLevel="0" collapsed="false">
      <c r="A139" s="66" t="n">
        <v>137</v>
      </c>
      <c r="B139" s="66" t="s">
        <v>117</v>
      </c>
      <c r="C139" s="66" t="s">
        <v>685</v>
      </c>
      <c r="D139" s="66" t="s">
        <v>553</v>
      </c>
      <c r="E139" s="66" t="s">
        <v>963</v>
      </c>
      <c r="F139" s="8" t="s">
        <v>1101</v>
      </c>
      <c r="G139" s="66" t="s">
        <v>580</v>
      </c>
      <c r="H139" s="66" t="s">
        <v>698</v>
      </c>
      <c r="I139" s="66"/>
      <c r="J139" s="8"/>
      <c r="K139" s="8"/>
    </row>
    <row r="140" customFormat="false" ht="45.75" hidden="false" customHeight="true" outlineLevel="0" collapsed="false">
      <c r="A140" s="66" t="n">
        <v>138</v>
      </c>
      <c r="B140" s="66" t="s">
        <v>117</v>
      </c>
      <c r="C140" s="66" t="s">
        <v>685</v>
      </c>
      <c r="D140" s="66" t="s">
        <v>553</v>
      </c>
      <c r="E140" s="66" t="s">
        <v>965</v>
      </c>
      <c r="F140" s="8" t="s">
        <v>1102</v>
      </c>
      <c r="G140" s="66" t="s">
        <v>580</v>
      </c>
      <c r="H140" s="66" t="s">
        <v>698</v>
      </c>
      <c r="I140" s="66"/>
      <c r="J140" s="8"/>
      <c r="K140" s="8"/>
    </row>
    <row r="141" customFormat="false" ht="34.5" hidden="false" customHeight="true" outlineLevel="0" collapsed="false">
      <c r="A141" s="66" t="n">
        <v>139</v>
      </c>
      <c r="B141" s="66" t="s">
        <v>117</v>
      </c>
      <c r="C141" s="66" t="s">
        <v>685</v>
      </c>
      <c r="D141" s="66" t="s">
        <v>557</v>
      </c>
      <c r="E141" s="66" t="s">
        <v>963</v>
      </c>
      <c r="F141" s="8" t="s">
        <v>1103</v>
      </c>
      <c r="G141" s="66" t="s">
        <v>671</v>
      </c>
      <c r="H141" s="66" t="s">
        <v>573</v>
      </c>
      <c r="I141" s="66"/>
      <c r="J141" s="8"/>
      <c r="K141" s="8"/>
    </row>
    <row r="142" customFormat="false" ht="45.75" hidden="false" customHeight="true" outlineLevel="0" collapsed="false">
      <c r="A142" s="66" t="n">
        <v>140</v>
      </c>
      <c r="B142" s="66" t="s">
        <v>117</v>
      </c>
      <c r="C142" s="66" t="s">
        <v>685</v>
      </c>
      <c r="D142" s="66" t="s">
        <v>557</v>
      </c>
      <c r="E142" s="66" t="s">
        <v>965</v>
      </c>
      <c r="F142" s="8" t="s">
        <v>1104</v>
      </c>
      <c r="G142" s="66" t="s">
        <v>671</v>
      </c>
      <c r="H142" s="66" t="s">
        <v>573</v>
      </c>
      <c r="I142" s="66"/>
      <c r="J142" s="8"/>
      <c r="K142" s="8"/>
    </row>
    <row r="143" customFormat="false" ht="34.5" hidden="false" customHeight="true" outlineLevel="0" collapsed="false">
      <c r="A143" s="66" t="n">
        <v>141</v>
      </c>
      <c r="B143" s="66" t="s">
        <v>117</v>
      </c>
      <c r="C143" s="66" t="s">
        <v>685</v>
      </c>
      <c r="D143" s="66" t="s">
        <v>559</v>
      </c>
      <c r="E143" s="66" t="s">
        <v>963</v>
      </c>
      <c r="F143" s="8" t="s">
        <v>1105</v>
      </c>
      <c r="G143" s="66" t="s">
        <v>701</v>
      </c>
      <c r="H143" s="66" t="s">
        <v>565</v>
      </c>
      <c r="I143" s="66"/>
      <c r="J143" s="8"/>
      <c r="K143" s="8"/>
    </row>
    <row r="144" customFormat="false" ht="45.75" hidden="false" customHeight="true" outlineLevel="0" collapsed="false">
      <c r="A144" s="66" t="n">
        <v>142</v>
      </c>
      <c r="B144" s="66" t="s">
        <v>117</v>
      </c>
      <c r="C144" s="66" t="s">
        <v>685</v>
      </c>
      <c r="D144" s="66" t="s">
        <v>559</v>
      </c>
      <c r="E144" s="66" t="s">
        <v>965</v>
      </c>
      <c r="F144" s="8" t="s">
        <v>1106</v>
      </c>
      <c r="G144" s="66" t="s">
        <v>701</v>
      </c>
      <c r="H144" s="66" t="s">
        <v>565</v>
      </c>
      <c r="I144" s="66"/>
      <c r="J144" s="8"/>
      <c r="K144" s="8"/>
    </row>
    <row r="145" customFormat="false" ht="34.5" hidden="false" customHeight="true" outlineLevel="0" collapsed="false">
      <c r="A145" s="66" t="n">
        <v>143</v>
      </c>
      <c r="B145" s="66" t="s">
        <v>117</v>
      </c>
      <c r="C145" s="66" t="s">
        <v>685</v>
      </c>
      <c r="D145" s="66" t="s">
        <v>563</v>
      </c>
      <c r="E145" s="66" t="s">
        <v>963</v>
      </c>
      <c r="F145" s="8" t="s">
        <v>1107</v>
      </c>
      <c r="G145" s="66" t="s">
        <v>561</v>
      </c>
      <c r="H145" s="66" t="s">
        <v>703</v>
      </c>
      <c r="I145" s="66"/>
      <c r="J145" s="8"/>
      <c r="K145" s="8"/>
    </row>
    <row r="146" customFormat="false" ht="45.75" hidden="false" customHeight="true" outlineLevel="0" collapsed="false">
      <c r="A146" s="66" t="n">
        <v>144</v>
      </c>
      <c r="B146" s="66" t="s">
        <v>117</v>
      </c>
      <c r="C146" s="66" t="s">
        <v>685</v>
      </c>
      <c r="D146" s="66" t="s">
        <v>563</v>
      </c>
      <c r="E146" s="66" t="s">
        <v>965</v>
      </c>
      <c r="F146" s="8" t="s">
        <v>1108</v>
      </c>
      <c r="G146" s="66" t="s">
        <v>561</v>
      </c>
      <c r="H146" s="66" t="s">
        <v>703</v>
      </c>
      <c r="I146" s="66"/>
      <c r="J146" s="8"/>
      <c r="K146" s="8"/>
    </row>
    <row r="147" customFormat="false" ht="34.5" hidden="false" customHeight="true" outlineLevel="0" collapsed="false">
      <c r="A147" s="66" t="n">
        <v>145</v>
      </c>
      <c r="B147" s="66" t="s">
        <v>114</v>
      </c>
      <c r="C147" s="66" t="s">
        <v>477</v>
      </c>
      <c r="D147" s="66" t="s">
        <v>545</v>
      </c>
      <c r="E147" s="66" t="s">
        <v>1109</v>
      </c>
      <c r="F147" s="8" t="s">
        <v>1110</v>
      </c>
      <c r="G147" s="66" t="s">
        <v>547</v>
      </c>
      <c r="H147" s="66" t="s">
        <v>548</v>
      </c>
      <c r="I147" s="66"/>
      <c r="J147" s="8"/>
      <c r="K147" s="8"/>
    </row>
    <row r="148" customFormat="false" ht="34.5" hidden="false" customHeight="true" outlineLevel="0" collapsed="false">
      <c r="A148" s="66" t="n">
        <v>146</v>
      </c>
      <c r="B148" s="66" t="s">
        <v>114</v>
      </c>
      <c r="C148" s="66" t="s">
        <v>477</v>
      </c>
      <c r="D148" s="66" t="s">
        <v>553</v>
      </c>
      <c r="E148" s="66" t="s">
        <v>1109</v>
      </c>
      <c r="F148" s="8" t="s">
        <v>1111</v>
      </c>
      <c r="G148" s="66" t="s">
        <v>555</v>
      </c>
      <c r="H148" s="66" t="s">
        <v>556</v>
      </c>
      <c r="I148" s="66"/>
      <c r="J148" s="8"/>
      <c r="K148" s="8"/>
    </row>
    <row r="149" customFormat="false" ht="34.5" hidden="false" customHeight="true" outlineLevel="0" collapsed="false">
      <c r="A149" s="66" t="n">
        <v>147</v>
      </c>
      <c r="B149" s="66" t="s">
        <v>115</v>
      </c>
      <c r="C149" s="66" t="s">
        <v>582</v>
      </c>
      <c r="D149" s="66" t="s">
        <v>616</v>
      </c>
      <c r="E149" s="66" t="s">
        <v>1109</v>
      </c>
      <c r="F149" s="8" t="s">
        <v>1112</v>
      </c>
      <c r="G149" s="66" t="s">
        <v>555</v>
      </c>
      <c r="H149" s="66" t="s">
        <v>556</v>
      </c>
      <c r="I149" s="66"/>
      <c r="J149" s="8"/>
      <c r="K149" s="8"/>
    </row>
    <row r="150" customFormat="false" ht="34.5" hidden="false" customHeight="true" outlineLevel="0" collapsed="false">
      <c r="A150" s="66" t="n">
        <v>148</v>
      </c>
      <c r="B150" s="66" t="s">
        <v>116</v>
      </c>
      <c r="C150" s="66" t="s">
        <v>625</v>
      </c>
      <c r="D150" s="66" t="s">
        <v>654</v>
      </c>
      <c r="E150" s="66" t="s">
        <v>1109</v>
      </c>
      <c r="F150" s="8" t="s">
        <v>1113</v>
      </c>
      <c r="G150" s="66" t="s">
        <v>656</v>
      </c>
      <c r="H150" s="66" t="s">
        <v>657</v>
      </c>
      <c r="I150" s="66"/>
      <c r="J150" s="8"/>
      <c r="K150" s="8"/>
    </row>
    <row r="151" customFormat="false" ht="34.5" hidden="false" customHeight="true" outlineLevel="0" collapsed="false">
      <c r="A151" s="66" t="n">
        <v>149</v>
      </c>
      <c r="B151" s="66" t="s">
        <v>116</v>
      </c>
      <c r="C151" s="66" t="s">
        <v>625</v>
      </c>
      <c r="D151" s="66" t="s">
        <v>669</v>
      </c>
      <c r="E151" s="66" t="s">
        <v>1109</v>
      </c>
      <c r="F151" s="8" t="s">
        <v>1114</v>
      </c>
      <c r="G151" s="66" t="s">
        <v>671</v>
      </c>
      <c r="H151" s="66" t="s">
        <v>573</v>
      </c>
      <c r="I151" s="66"/>
      <c r="J151" s="8"/>
      <c r="K151" s="8"/>
    </row>
    <row r="152" customFormat="false" ht="34.5" hidden="false" customHeight="true" outlineLevel="0" collapsed="false">
      <c r="A152" s="66" t="n">
        <v>150</v>
      </c>
      <c r="B152" s="66" t="s">
        <v>117</v>
      </c>
      <c r="C152" s="66" t="s">
        <v>685</v>
      </c>
      <c r="D152" s="66" t="s">
        <v>545</v>
      </c>
      <c r="E152" s="66" t="s">
        <v>1109</v>
      </c>
      <c r="F152" s="8" t="s">
        <v>1115</v>
      </c>
      <c r="G152" s="66" t="s">
        <v>561</v>
      </c>
      <c r="H152" s="66" t="s">
        <v>562</v>
      </c>
      <c r="I152" s="66"/>
      <c r="J152" s="8"/>
      <c r="K152" s="8"/>
    </row>
    <row r="153" customFormat="false" ht="34.5" hidden="false" customHeight="true" outlineLevel="0" collapsed="false">
      <c r="A153" s="66" t="n">
        <v>151</v>
      </c>
      <c r="B153" s="66" t="s">
        <v>117</v>
      </c>
      <c r="C153" s="66" t="s">
        <v>685</v>
      </c>
      <c r="D153" s="66" t="s">
        <v>563</v>
      </c>
      <c r="E153" s="66" t="s">
        <v>1109</v>
      </c>
      <c r="F153" s="8" t="s">
        <v>1116</v>
      </c>
      <c r="G153" s="66" t="s">
        <v>561</v>
      </c>
      <c r="H153" s="66" t="s">
        <v>703</v>
      </c>
      <c r="I153" s="66"/>
      <c r="J153" s="8"/>
      <c r="K153" s="8"/>
    </row>
  </sheetData>
  <mergeCells count="1">
    <mergeCell ref="A1:K1"/>
  </mergeCells>
  <conditionalFormatting sqref="I3:I153">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I3:I153"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9"/>
    <col collapsed="false" customWidth="true" hidden="false" outlineLevel="0" max="4" min="4" style="1" width="26"/>
    <col collapsed="false" customWidth="true" hidden="false" outlineLevel="0" max="5" min="5" style="1" width="14"/>
    <col collapsed="false" customWidth="true" hidden="false" outlineLevel="0" max="6" min="6" style="1" width="50"/>
    <col collapsed="false" customWidth="true" hidden="false" outlineLevel="0" max="7" min="7" style="1" width="14"/>
    <col collapsed="false" customWidth="true" hidden="false" outlineLevel="0" max="8" min="8" style="1" width="18"/>
    <col collapsed="false" customWidth="true" hidden="false" outlineLevel="0" max="9" min="9" style="1" width="10"/>
    <col collapsed="false" customWidth="true" hidden="false" outlineLevel="0" max="11" min="10" style="1" width="26"/>
  </cols>
  <sheetData>
    <row r="1" customFormat="false" ht="24" hidden="false" customHeight="true" outlineLevel="0" collapsed="false">
      <c r="A1" s="60" t="s">
        <v>1117</v>
      </c>
      <c r="B1" s="60"/>
      <c r="C1" s="60"/>
      <c r="D1" s="60"/>
      <c r="E1" s="60"/>
      <c r="F1" s="60"/>
      <c r="G1" s="60"/>
      <c r="H1" s="60"/>
      <c r="I1" s="60"/>
      <c r="J1" s="60"/>
      <c r="K1" s="60"/>
    </row>
    <row r="2" customFormat="false" ht="27.75" hidden="false" customHeight="true" outlineLevel="0" collapsed="false">
      <c r="A2" s="61" t="s">
        <v>88</v>
      </c>
      <c r="B2" s="61" t="s">
        <v>1118</v>
      </c>
      <c r="C2" s="61" t="s">
        <v>706</v>
      </c>
      <c r="D2" s="61" t="s">
        <v>707</v>
      </c>
      <c r="E2" s="61" t="s">
        <v>956</v>
      </c>
      <c r="F2" s="61" t="s">
        <v>957</v>
      </c>
      <c r="G2" s="61" t="s">
        <v>708</v>
      </c>
      <c r="H2" s="61" t="s">
        <v>1119</v>
      </c>
      <c r="I2" s="61" t="s">
        <v>960</v>
      </c>
      <c r="J2" s="61" t="s">
        <v>961</v>
      </c>
      <c r="K2" s="61" t="s">
        <v>962</v>
      </c>
    </row>
    <row r="3" customFormat="false" ht="57" hidden="false" customHeight="true" outlineLevel="0" collapsed="false">
      <c r="A3" s="66" t="n">
        <v>1</v>
      </c>
      <c r="B3" s="66" t="s">
        <v>711</v>
      </c>
      <c r="C3" s="66" t="s">
        <v>712</v>
      </c>
      <c r="D3" s="66" t="s">
        <v>713</v>
      </c>
      <c r="E3" s="66" t="s">
        <v>1120</v>
      </c>
      <c r="F3" s="8" t="s">
        <v>1121</v>
      </c>
      <c r="G3" s="66" t="s">
        <v>714</v>
      </c>
      <c r="H3" s="66" t="s">
        <v>716</v>
      </c>
      <c r="I3" s="66"/>
      <c r="J3" s="8"/>
      <c r="K3" s="8"/>
    </row>
    <row r="4" customFormat="false" ht="45.75" hidden="false" customHeight="true" outlineLevel="0" collapsed="false">
      <c r="A4" s="66" t="n">
        <v>2</v>
      </c>
      <c r="B4" s="66" t="s">
        <v>711</v>
      </c>
      <c r="C4" s="66" t="s">
        <v>717</v>
      </c>
      <c r="D4" s="66" t="s">
        <v>718</v>
      </c>
      <c r="E4" s="66" t="s">
        <v>1120</v>
      </c>
      <c r="F4" s="8" t="s">
        <v>1122</v>
      </c>
      <c r="G4" s="66" t="s">
        <v>714</v>
      </c>
      <c r="H4" s="66" t="s">
        <v>716</v>
      </c>
      <c r="I4" s="66"/>
      <c r="J4" s="8"/>
      <c r="K4" s="8"/>
    </row>
    <row r="5" customFormat="false" ht="45.75" hidden="false" customHeight="true" outlineLevel="0" collapsed="false">
      <c r="A5" s="66" t="n">
        <v>3</v>
      </c>
      <c r="B5" s="66" t="s">
        <v>711</v>
      </c>
      <c r="C5" s="66" t="s">
        <v>720</v>
      </c>
      <c r="D5" s="66" t="s">
        <v>721</v>
      </c>
      <c r="E5" s="66" t="s">
        <v>1120</v>
      </c>
      <c r="F5" s="8" t="s">
        <v>1123</v>
      </c>
      <c r="G5" s="66" t="s">
        <v>714</v>
      </c>
      <c r="H5" s="66" t="s">
        <v>716</v>
      </c>
      <c r="I5" s="66"/>
      <c r="J5" s="8"/>
      <c r="K5" s="8"/>
    </row>
    <row r="6" customFormat="false" ht="45.75" hidden="false" customHeight="true" outlineLevel="0" collapsed="false">
      <c r="A6" s="66" t="n">
        <v>4</v>
      </c>
      <c r="B6" s="66" t="s">
        <v>711</v>
      </c>
      <c r="C6" s="66" t="s">
        <v>723</v>
      </c>
      <c r="D6" s="66" t="s">
        <v>724</v>
      </c>
      <c r="E6" s="66" t="s">
        <v>963</v>
      </c>
      <c r="F6" s="8" t="s">
        <v>1124</v>
      </c>
      <c r="G6" s="66" t="s">
        <v>725</v>
      </c>
      <c r="H6" s="66" t="s">
        <v>727</v>
      </c>
      <c r="I6" s="66"/>
      <c r="J6" s="8"/>
      <c r="K6" s="8"/>
    </row>
    <row r="7" customFormat="false" ht="45.75" hidden="false" customHeight="true" outlineLevel="0" collapsed="false">
      <c r="A7" s="66" t="n">
        <v>5</v>
      </c>
      <c r="B7" s="66" t="s">
        <v>711</v>
      </c>
      <c r="C7" s="66" t="s">
        <v>723</v>
      </c>
      <c r="D7" s="66" t="s">
        <v>724</v>
      </c>
      <c r="E7" s="66" t="s">
        <v>474</v>
      </c>
      <c r="F7" s="8" t="s">
        <v>1125</v>
      </c>
      <c r="G7" s="66" t="s">
        <v>725</v>
      </c>
      <c r="H7" s="66" t="s">
        <v>727</v>
      </c>
      <c r="I7" s="66"/>
      <c r="J7" s="8"/>
      <c r="K7" s="8"/>
    </row>
    <row r="8" customFormat="false" ht="34.5" hidden="false" customHeight="true" outlineLevel="0" collapsed="false">
      <c r="A8" s="66" t="n">
        <v>6</v>
      </c>
      <c r="B8" s="66" t="s">
        <v>711</v>
      </c>
      <c r="C8" s="66" t="s">
        <v>723</v>
      </c>
      <c r="D8" s="66" t="s">
        <v>724</v>
      </c>
      <c r="E8" s="66" t="s">
        <v>1126</v>
      </c>
      <c r="F8" s="8" t="s">
        <v>1127</v>
      </c>
      <c r="G8" s="66" t="s">
        <v>725</v>
      </c>
      <c r="H8" s="66" t="s">
        <v>727</v>
      </c>
      <c r="I8" s="66"/>
      <c r="J8" s="8"/>
      <c r="K8" s="8"/>
    </row>
    <row r="9" customFormat="false" ht="57" hidden="false" customHeight="true" outlineLevel="0" collapsed="false">
      <c r="A9" s="66" t="n">
        <v>7</v>
      </c>
      <c r="B9" s="66" t="s">
        <v>728</v>
      </c>
      <c r="C9" s="66" t="s">
        <v>729</v>
      </c>
      <c r="D9" s="66" t="s">
        <v>730</v>
      </c>
      <c r="E9" s="66" t="s">
        <v>963</v>
      </c>
      <c r="F9" s="8" t="s">
        <v>1128</v>
      </c>
      <c r="G9" s="66" t="s">
        <v>714</v>
      </c>
      <c r="H9" s="66" t="s">
        <v>727</v>
      </c>
      <c r="I9" s="66"/>
      <c r="J9" s="8"/>
      <c r="K9" s="8"/>
    </row>
    <row r="10" customFormat="false" ht="45.75" hidden="false" customHeight="true" outlineLevel="0" collapsed="false">
      <c r="A10" s="66" t="n">
        <v>8</v>
      </c>
      <c r="B10" s="66" t="s">
        <v>728</v>
      </c>
      <c r="C10" s="66" t="s">
        <v>729</v>
      </c>
      <c r="D10" s="66" t="s">
        <v>730</v>
      </c>
      <c r="E10" s="66" t="s">
        <v>474</v>
      </c>
      <c r="F10" s="8" t="s">
        <v>1129</v>
      </c>
      <c r="G10" s="66" t="s">
        <v>714</v>
      </c>
      <c r="H10" s="66" t="s">
        <v>727</v>
      </c>
      <c r="I10" s="66"/>
      <c r="J10" s="8"/>
      <c r="K10" s="8"/>
    </row>
    <row r="11" customFormat="false" ht="34.5" hidden="false" customHeight="true" outlineLevel="0" collapsed="false">
      <c r="A11" s="66" t="n">
        <v>9</v>
      </c>
      <c r="B11" s="66" t="s">
        <v>728</v>
      </c>
      <c r="C11" s="66" t="s">
        <v>729</v>
      </c>
      <c r="D11" s="66" t="s">
        <v>730</v>
      </c>
      <c r="E11" s="66" t="s">
        <v>1126</v>
      </c>
      <c r="F11" s="8" t="s">
        <v>1130</v>
      </c>
      <c r="G11" s="66" t="s">
        <v>714</v>
      </c>
      <c r="H11" s="66" t="s">
        <v>727</v>
      </c>
      <c r="I11" s="66"/>
      <c r="J11" s="8"/>
      <c r="K11" s="8"/>
    </row>
    <row r="12" customFormat="false" ht="45.75" hidden="false" customHeight="true" outlineLevel="0" collapsed="false">
      <c r="A12" s="66" t="n">
        <v>10</v>
      </c>
      <c r="B12" s="66" t="s">
        <v>732</v>
      </c>
      <c r="C12" s="66" t="s">
        <v>733</v>
      </c>
      <c r="D12" s="66" t="s">
        <v>734</v>
      </c>
      <c r="E12" s="66" t="s">
        <v>963</v>
      </c>
      <c r="F12" s="8" t="s">
        <v>1131</v>
      </c>
      <c r="G12" s="66" t="s">
        <v>735</v>
      </c>
      <c r="H12" s="66" t="s">
        <v>737</v>
      </c>
      <c r="I12" s="66"/>
      <c r="J12" s="8"/>
      <c r="K12" s="8"/>
    </row>
    <row r="13" customFormat="false" ht="45.75" hidden="false" customHeight="true" outlineLevel="0" collapsed="false">
      <c r="A13" s="66" t="n">
        <v>11</v>
      </c>
      <c r="B13" s="66" t="s">
        <v>732</v>
      </c>
      <c r="C13" s="66" t="s">
        <v>733</v>
      </c>
      <c r="D13" s="66" t="s">
        <v>734</v>
      </c>
      <c r="E13" s="66" t="s">
        <v>474</v>
      </c>
      <c r="F13" s="8" t="s">
        <v>1132</v>
      </c>
      <c r="G13" s="66" t="s">
        <v>735</v>
      </c>
      <c r="H13" s="66" t="s">
        <v>737</v>
      </c>
      <c r="I13" s="66"/>
      <c r="J13" s="8"/>
      <c r="K13" s="8"/>
    </row>
    <row r="14" customFormat="false" ht="34.5" hidden="false" customHeight="true" outlineLevel="0" collapsed="false">
      <c r="A14" s="66" t="n">
        <v>12</v>
      </c>
      <c r="B14" s="66" t="s">
        <v>732</v>
      </c>
      <c r="C14" s="66" t="s">
        <v>733</v>
      </c>
      <c r="D14" s="66" t="s">
        <v>734</v>
      </c>
      <c r="E14" s="66" t="s">
        <v>1126</v>
      </c>
      <c r="F14" s="8" t="s">
        <v>1133</v>
      </c>
      <c r="G14" s="66" t="s">
        <v>735</v>
      </c>
      <c r="H14" s="66" t="s">
        <v>737</v>
      </c>
      <c r="I14" s="66"/>
      <c r="J14" s="8"/>
      <c r="K14" s="8"/>
    </row>
    <row r="15" customFormat="false" ht="45.75" hidden="false" customHeight="true" outlineLevel="0" collapsed="false">
      <c r="A15" s="66" t="n">
        <v>13</v>
      </c>
      <c r="B15" s="66" t="s">
        <v>732</v>
      </c>
      <c r="C15" s="66" t="s">
        <v>738</v>
      </c>
      <c r="D15" s="66" t="s">
        <v>739</v>
      </c>
      <c r="E15" s="66" t="s">
        <v>1120</v>
      </c>
      <c r="F15" s="8" t="s">
        <v>1134</v>
      </c>
      <c r="G15" s="66" t="s">
        <v>740</v>
      </c>
      <c r="H15" s="66" t="s">
        <v>737</v>
      </c>
      <c r="I15" s="66"/>
      <c r="J15" s="8"/>
      <c r="K15" s="8"/>
    </row>
    <row r="16" customFormat="false" ht="45.75" hidden="false" customHeight="true" outlineLevel="0" collapsed="false">
      <c r="A16" s="66" t="n">
        <v>14</v>
      </c>
      <c r="B16" s="66" t="s">
        <v>742</v>
      </c>
      <c r="C16" s="66" t="s">
        <v>743</v>
      </c>
      <c r="D16" s="66" t="s">
        <v>744</v>
      </c>
      <c r="E16" s="66" t="s">
        <v>963</v>
      </c>
      <c r="F16" s="8" t="s">
        <v>1135</v>
      </c>
      <c r="G16" s="66" t="s">
        <v>735</v>
      </c>
      <c r="H16" s="66" t="s">
        <v>737</v>
      </c>
      <c r="I16" s="66"/>
      <c r="J16" s="8"/>
      <c r="K16" s="8"/>
    </row>
    <row r="17" customFormat="false" ht="45.75" hidden="false" customHeight="true" outlineLevel="0" collapsed="false">
      <c r="A17" s="66" t="n">
        <v>15</v>
      </c>
      <c r="B17" s="66" t="s">
        <v>742</v>
      </c>
      <c r="C17" s="66" t="s">
        <v>743</v>
      </c>
      <c r="D17" s="66" t="s">
        <v>744</v>
      </c>
      <c r="E17" s="66" t="s">
        <v>474</v>
      </c>
      <c r="F17" s="8" t="s">
        <v>1136</v>
      </c>
      <c r="G17" s="66" t="s">
        <v>735</v>
      </c>
      <c r="H17" s="66" t="s">
        <v>737</v>
      </c>
      <c r="I17" s="66"/>
      <c r="J17" s="8"/>
      <c r="K17" s="8"/>
    </row>
    <row r="18" customFormat="false" ht="34.5" hidden="false" customHeight="true" outlineLevel="0" collapsed="false">
      <c r="A18" s="66" t="n">
        <v>16</v>
      </c>
      <c r="B18" s="66" t="s">
        <v>742</v>
      </c>
      <c r="C18" s="66" t="s">
        <v>743</v>
      </c>
      <c r="D18" s="66" t="s">
        <v>744</v>
      </c>
      <c r="E18" s="66" t="s">
        <v>1126</v>
      </c>
      <c r="F18" s="8" t="s">
        <v>1137</v>
      </c>
      <c r="G18" s="66" t="s">
        <v>735</v>
      </c>
      <c r="H18" s="66" t="s">
        <v>737</v>
      </c>
      <c r="I18" s="66"/>
      <c r="J18" s="8"/>
      <c r="K18" s="8"/>
    </row>
    <row r="19" customFormat="false" ht="34.5" hidden="false" customHeight="true" outlineLevel="0" collapsed="false">
      <c r="A19" s="66" t="n">
        <v>17</v>
      </c>
      <c r="B19" s="66" t="s">
        <v>742</v>
      </c>
      <c r="C19" s="66" t="s">
        <v>320</v>
      </c>
      <c r="D19" s="66" t="s">
        <v>746</v>
      </c>
      <c r="E19" s="66" t="s">
        <v>963</v>
      </c>
      <c r="F19" s="8" t="s">
        <v>1138</v>
      </c>
      <c r="G19" s="66" t="s">
        <v>735</v>
      </c>
      <c r="H19" s="66" t="s">
        <v>737</v>
      </c>
      <c r="I19" s="66"/>
      <c r="J19" s="8"/>
      <c r="K19" s="8"/>
    </row>
    <row r="20" customFormat="false" ht="45.75" hidden="false" customHeight="true" outlineLevel="0" collapsed="false">
      <c r="A20" s="66" t="n">
        <v>18</v>
      </c>
      <c r="B20" s="66" t="s">
        <v>742</v>
      </c>
      <c r="C20" s="66" t="s">
        <v>320</v>
      </c>
      <c r="D20" s="66" t="s">
        <v>746</v>
      </c>
      <c r="E20" s="66" t="s">
        <v>474</v>
      </c>
      <c r="F20" s="8" t="s">
        <v>1139</v>
      </c>
      <c r="G20" s="66" t="s">
        <v>735</v>
      </c>
      <c r="H20" s="66" t="s">
        <v>737</v>
      </c>
      <c r="I20" s="66"/>
      <c r="J20" s="8"/>
      <c r="K20" s="8"/>
    </row>
    <row r="21" customFormat="false" ht="34.5" hidden="false" customHeight="true" outlineLevel="0" collapsed="false">
      <c r="A21" s="66" t="n">
        <v>19</v>
      </c>
      <c r="B21" s="66" t="s">
        <v>742</v>
      </c>
      <c r="C21" s="66" t="s">
        <v>320</v>
      </c>
      <c r="D21" s="66" t="s">
        <v>746</v>
      </c>
      <c r="E21" s="66" t="s">
        <v>1126</v>
      </c>
      <c r="F21" s="8" t="s">
        <v>1140</v>
      </c>
      <c r="G21" s="66" t="s">
        <v>735</v>
      </c>
      <c r="H21" s="66" t="s">
        <v>737</v>
      </c>
      <c r="I21" s="66"/>
      <c r="J21" s="8"/>
      <c r="K21" s="8"/>
    </row>
    <row r="22" customFormat="false" ht="45.75" hidden="false" customHeight="true" outlineLevel="0" collapsed="false">
      <c r="A22" s="66" t="n">
        <v>20</v>
      </c>
      <c r="B22" s="66" t="s">
        <v>742</v>
      </c>
      <c r="C22" s="66" t="s">
        <v>748</v>
      </c>
      <c r="D22" s="66" t="s">
        <v>749</v>
      </c>
      <c r="E22" s="66" t="s">
        <v>963</v>
      </c>
      <c r="F22" s="8" t="s">
        <v>1141</v>
      </c>
      <c r="G22" s="66" t="s">
        <v>735</v>
      </c>
      <c r="H22" s="66" t="s">
        <v>737</v>
      </c>
      <c r="I22" s="66"/>
      <c r="J22" s="8"/>
      <c r="K22" s="8"/>
    </row>
    <row r="23" customFormat="false" ht="45.75" hidden="false" customHeight="true" outlineLevel="0" collapsed="false">
      <c r="A23" s="66" t="n">
        <v>21</v>
      </c>
      <c r="B23" s="66" t="s">
        <v>742</v>
      </c>
      <c r="C23" s="66" t="s">
        <v>748</v>
      </c>
      <c r="D23" s="66" t="s">
        <v>749</v>
      </c>
      <c r="E23" s="66" t="s">
        <v>474</v>
      </c>
      <c r="F23" s="8" t="s">
        <v>1142</v>
      </c>
      <c r="G23" s="66" t="s">
        <v>735</v>
      </c>
      <c r="H23" s="66" t="s">
        <v>737</v>
      </c>
      <c r="I23" s="66"/>
      <c r="J23" s="8"/>
      <c r="K23" s="8"/>
    </row>
    <row r="24" customFormat="false" ht="34.5" hidden="false" customHeight="true" outlineLevel="0" collapsed="false">
      <c r="A24" s="66" t="n">
        <v>22</v>
      </c>
      <c r="B24" s="66" t="s">
        <v>742</v>
      </c>
      <c r="C24" s="66" t="s">
        <v>748</v>
      </c>
      <c r="D24" s="66" t="s">
        <v>749</v>
      </c>
      <c r="E24" s="66" t="s">
        <v>1126</v>
      </c>
      <c r="F24" s="8" t="s">
        <v>1143</v>
      </c>
      <c r="G24" s="66" t="s">
        <v>735</v>
      </c>
      <c r="H24" s="66" t="s">
        <v>737</v>
      </c>
      <c r="I24" s="66"/>
      <c r="J24" s="8"/>
      <c r="K24" s="8"/>
    </row>
    <row r="25" customFormat="false" ht="45.75" hidden="false" customHeight="true" outlineLevel="0" collapsed="false">
      <c r="A25" s="66" t="n">
        <v>23</v>
      </c>
      <c r="B25" s="66" t="s">
        <v>742</v>
      </c>
      <c r="C25" s="66" t="s">
        <v>751</v>
      </c>
      <c r="D25" s="66" t="s">
        <v>752</v>
      </c>
      <c r="E25" s="66" t="s">
        <v>963</v>
      </c>
      <c r="F25" s="8" t="s">
        <v>1144</v>
      </c>
      <c r="G25" s="66" t="s">
        <v>735</v>
      </c>
      <c r="H25" s="66" t="s">
        <v>737</v>
      </c>
      <c r="I25" s="66"/>
      <c r="J25" s="8"/>
      <c r="K25" s="8"/>
    </row>
    <row r="26" customFormat="false" ht="45.75" hidden="false" customHeight="true" outlineLevel="0" collapsed="false">
      <c r="A26" s="66" t="n">
        <v>24</v>
      </c>
      <c r="B26" s="66" t="s">
        <v>742</v>
      </c>
      <c r="C26" s="66" t="s">
        <v>751</v>
      </c>
      <c r="D26" s="66" t="s">
        <v>752</v>
      </c>
      <c r="E26" s="66" t="s">
        <v>474</v>
      </c>
      <c r="F26" s="8" t="s">
        <v>1145</v>
      </c>
      <c r="G26" s="66" t="s">
        <v>735</v>
      </c>
      <c r="H26" s="66" t="s">
        <v>737</v>
      </c>
      <c r="I26" s="66"/>
      <c r="J26" s="8"/>
      <c r="K26" s="8"/>
    </row>
    <row r="27" customFormat="false" ht="34.5" hidden="false" customHeight="true" outlineLevel="0" collapsed="false">
      <c r="A27" s="66" t="n">
        <v>25</v>
      </c>
      <c r="B27" s="66" t="s">
        <v>742</v>
      </c>
      <c r="C27" s="66" t="s">
        <v>751</v>
      </c>
      <c r="D27" s="66" t="s">
        <v>752</v>
      </c>
      <c r="E27" s="66" t="s">
        <v>1126</v>
      </c>
      <c r="F27" s="8" t="s">
        <v>1146</v>
      </c>
      <c r="G27" s="66" t="s">
        <v>735</v>
      </c>
      <c r="H27" s="66" t="s">
        <v>737</v>
      </c>
      <c r="I27" s="66"/>
      <c r="J27" s="8"/>
      <c r="K27" s="8"/>
    </row>
    <row r="28" customFormat="false" ht="34.5" hidden="false" customHeight="true" outlineLevel="0" collapsed="false">
      <c r="A28" s="66" t="n">
        <v>26</v>
      </c>
      <c r="B28" s="66" t="s">
        <v>742</v>
      </c>
      <c r="C28" s="66" t="s">
        <v>754</v>
      </c>
      <c r="D28" s="66" t="s">
        <v>755</v>
      </c>
      <c r="E28" s="66" t="s">
        <v>963</v>
      </c>
      <c r="F28" s="8" t="s">
        <v>1147</v>
      </c>
      <c r="G28" s="66" t="s">
        <v>735</v>
      </c>
      <c r="H28" s="66" t="s">
        <v>737</v>
      </c>
      <c r="I28" s="66"/>
      <c r="J28" s="8"/>
      <c r="K28" s="8"/>
    </row>
    <row r="29" customFormat="false" ht="45.75" hidden="false" customHeight="true" outlineLevel="0" collapsed="false">
      <c r="A29" s="66" t="n">
        <v>27</v>
      </c>
      <c r="B29" s="66" t="s">
        <v>742</v>
      </c>
      <c r="C29" s="66" t="s">
        <v>754</v>
      </c>
      <c r="D29" s="66" t="s">
        <v>755</v>
      </c>
      <c r="E29" s="66" t="s">
        <v>474</v>
      </c>
      <c r="F29" s="8" t="s">
        <v>1148</v>
      </c>
      <c r="G29" s="66" t="s">
        <v>735</v>
      </c>
      <c r="H29" s="66" t="s">
        <v>737</v>
      </c>
      <c r="I29" s="66"/>
      <c r="J29" s="8"/>
      <c r="K29" s="8"/>
    </row>
    <row r="30" customFormat="false" ht="34.5" hidden="false" customHeight="true" outlineLevel="0" collapsed="false">
      <c r="A30" s="66" t="n">
        <v>28</v>
      </c>
      <c r="B30" s="66" t="s">
        <v>742</v>
      </c>
      <c r="C30" s="66" t="s">
        <v>754</v>
      </c>
      <c r="D30" s="66" t="s">
        <v>755</v>
      </c>
      <c r="E30" s="66" t="s">
        <v>1126</v>
      </c>
      <c r="F30" s="8" t="s">
        <v>1149</v>
      </c>
      <c r="G30" s="66" t="s">
        <v>735</v>
      </c>
      <c r="H30" s="66" t="s">
        <v>737</v>
      </c>
      <c r="I30" s="66"/>
      <c r="J30" s="8"/>
      <c r="K30" s="8"/>
    </row>
    <row r="31" customFormat="false" ht="45.75" hidden="false" customHeight="true" outlineLevel="0" collapsed="false">
      <c r="A31" s="66" t="n">
        <v>29</v>
      </c>
      <c r="B31" s="66" t="s">
        <v>742</v>
      </c>
      <c r="C31" s="66" t="s">
        <v>757</v>
      </c>
      <c r="D31" s="66" t="s">
        <v>758</v>
      </c>
      <c r="E31" s="66" t="s">
        <v>963</v>
      </c>
      <c r="F31" s="8" t="s">
        <v>1150</v>
      </c>
      <c r="G31" s="66" t="s">
        <v>735</v>
      </c>
      <c r="H31" s="66" t="s">
        <v>737</v>
      </c>
      <c r="I31" s="66"/>
      <c r="J31" s="8"/>
      <c r="K31" s="8"/>
    </row>
    <row r="32" customFormat="false" ht="45.75" hidden="false" customHeight="true" outlineLevel="0" collapsed="false">
      <c r="A32" s="66" t="n">
        <v>30</v>
      </c>
      <c r="B32" s="66" t="s">
        <v>742</v>
      </c>
      <c r="C32" s="66" t="s">
        <v>757</v>
      </c>
      <c r="D32" s="66" t="s">
        <v>758</v>
      </c>
      <c r="E32" s="66" t="s">
        <v>474</v>
      </c>
      <c r="F32" s="8" t="s">
        <v>1151</v>
      </c>
      <c r="G32" s="66" t="s">
        <v>735</v>
      </c>
      <c r="H32" s="66" t="s">
        <v>737</v>
      </c>
      <c r="I32" s="66"/>
      <c r="J32" s="8"/>
      <c r="K32" s="8"/>
    </row>
    <row r="33" customFormat="false" ht="34.5" hidden="false" customHeight="true" outlineLevel="0" collapsed="false">
      <c r="A33" s="66" t="n">
        <v>31</v>
      </c>
      <c r="B33" s="66" t="s">
        <v>742</v>
      </c>
      <c r="C33" s="66" t="s">
        <v>757</v>
      </c>
      <c r="D33" s="66" t="s">
        <v>758</v>
      </c>
      <c r="E33" s="66" t="s">
        <v>1126</v>
      </c>
      <c r="F33" s="8" t="s">
        <v>1152</v>
      </c>
      <c r="G33" s="66" t="s">
        <v>735</v>
      </c>
      <c r="H33" s="66" t="s">
        <v>737</v>
      </c>
      <c r="I33" s="66"/>
      <c r="J33" s="8"/>
      <c r="K33" s="8"/>
    </row>
    <row r="34" customFormat="false" ht="45.75" hidden="false" customHeight="true" outlineLevel="0" collapsed="false">
      <c r="A34" s="66" t="n">
        <v>32</v>
      </c>
      <c r="B34" s="66" t="s">
        <v>742</v>
      </c>
      <c r="C34" s="66" t="s">
        <v>760</v>
      </c>
      <c r="D34" s="66" t="s">
        <v>761</v>
      </c>
      <c r="E34" s="66" t="s">
        <v>963</v>
      </c>
      <c r="F34" s="8" t="s">
        <v>1153</v>
      </c>
      <c r="G34" s="66" t="s">
        <v>735</v>
      </c>
      <c r="H34" s="66" t="s">
        <v>737</v>
      </c>
      <c r="I34" s="66"/>
      <c r="J34" s="8"/>
      <c r="K34" s="8"/>
    </row>
    <row r="35" customFormat="false" ht="45.75" hidden="false" customHeight="true" outlineLevel="0" collapsed="false">
      <c r="A35" s="66" t="n">
        <v>33</v>
      </c>
      <c r="B35" s="66" t="s">
        <v>742</v>
      </c>
      <c r="C35" s="66" t="s">
        <v>760</v>
      </c>
      <c r="D35" s="66" t="s">
        <v>761</v>
      </c>
      <c r="E35" s="66" t="s">
        <v>474</v>
      </c>
      <c r="F35" s="8" t="s">
        <v>1154</v>
      </c>
      <c r="G35" s="66" t="s">
        <v>735</v>
      </c>
      <c r="H35" s="66" t="s">
        <v>737</v>
      </c>
      <c r="I35" s="66"/>
      <c r="J35" s="8"/>
      <c r="K35" s="8"/>
    </row>
    <row r="36" customFormat="false" ht="34.5" hidden="false" customHeight="true" outlineLevel="0" collapsed="false">
      <c r="A36" s="66" t="n">
        <v>34</v>
      </c>
      <c r="B36" s="66" t="s">
        <v>742</v>
      </c>
      <c r="C36" s="66" t="s">
        <v>760</v>
      </c>
      <c r="D36" s="66" t="s">
        <v>761</v>
      </c>
      <c r="E36" s="66" t="s">
        <v>1126</v>
      </c>
      <c r="F36" s="8" t="s">
        <v>1155</v>
      </c>
      <c r="G36" s="66" t="s">
        <v>735</v>
      </c>
      <c r="H36" s="66" t="s">
        <v>737</v>
      </c>
      <c r="I36" s="66"/>
      <c r="J36" s="8"/>
      <c r="K36" s="8"/>
    </row>
    <row r="37" customFormat="false" ht="45.75" hidden="false" customHeight="true" outlineLevel="0" collapsed="false">
      <c r="A37" s="66" t="n">
        <v>35</v>
      </c>
      <c r="B37" s="66" t="s">
        <v>742</v>
      </c>
      <c r="C37" s="66" t="s">
        <v>341</v>
      </c>
      <c r="D37" s="66" t="s">
        <v>763</v>
      </c>
      <c r="E37" s="66" t="s">
        <v>963</v>
      </c>
      <c r="F37" s="8" t="s">
        <v>1156</v>
      </c>
      <c r="G37" s="66" t="s">
        <v>735</v>
      </c>
      <c r="H37" s="66" t="s">
        <v>737</v>
      </c>
      <c r="I37" s="66"/>
      <c r="J37" s="8"/>
      <c r="K37" s="8"/>
    </row>
    <row r="38" customFormat="false" ht="45.75" hidden="false" customHeight="true" outlineLevel="0" collapsed="false">
      <c r="A38" s="66" t="n">
        <v>36</v>
      </c>
      <c r="B38" s="66" t="s">
        <v>742</v>
      </c>
      <c r="C38" s="66" t="s">
        <v>341</v>
      </c>
      <c r="D38" s="66" t="s">
        <v>763</v>
      </c>
      <c r="E38" s="66" t="s">
        <v>474</v>
      </c>
      <c r="F38" s="8" t="s">
        <v>1157</v>
      </c>
      <c r="G38" s="66" t="s">
        <v>735</v>
      </c>
      <c r="H38" s="66" t="s">
        <v>737</v>
      </c>
      <c r="I38" s="66"/>
      <c r="J38" s="8"/>
      <c r="K38" s="8"/>
    </row>
    <row r="39" customFormat="false" ht="34.5" hidden="false" customHeight="true" outlineLevel="0" collapsed="false">
      <c r="A39" s="66" t="n">
        <v>37</v>
      </c>
      <c r="B39" s="66" t="s">
        <v>742</v>
      </c>
      <c r="C39" s="66" t="s">
        <v>341</v>
      </c>
      <c r="D39" s="66" t="s">
        <v>763</v>
      </c>
      <c r="E39" s="66" t="s">
        <v>1126</v>
      </c>
      <c r="F39" s="8" t="s">
        <v>1158</v>
      </c>
      <c r="G39" s="66" t="s">
        <v>735</v>
      </c>
      <c r="H39" s="66" t="s">
        <v>737</v>
      </c>
      <c r="I39" s="66"/>
      <c r="J39" s="8"/>
      <c r="K39" s="8"/>
    </row>
    <row r="40" customFormat="false" ht="45.75" hidden="false" customHeight="true" outlineLevel="0" collapsed="false">
      <c r="A40" s="66" t="n">
        <v>38</v>
      </c>
      <c r="B40" s="66" t="s">
        <v>765</v>
      </c>
      <c r="C40" s="66" t="s">
        <v>766</v>
      </c>
      <c r="D40" s="66" t="s">
        <v>767</v>
      </c>
      <c r="E40" s="66" t="s">
        <v>963</v>
      </c>
      <c r="F40" s="8" t="s">
        <v>1159</v>
      </c>
      <c r="G40" s="66" t="s">
        <v>735</v>
      </c>
      <c r="H40" s="66" t="s">
        <v>737</v>
      </c>
      <c r="I40" s="66"/>
      <c r="J40" s="8"/>
      <c r="K40" s="8"/>
    </row>
    <row r="41" customFormat="false" ht="45.75" hidden="false" customHeight="true" outlineLevel="0" collapsed="false">
      <c r="A41" s="66" t="n">
        <v>39</v>
      </c>
      <c r="B41" s="66" t="s">
        <v>765</v>
      </c>
      <c r="C41" s="66" t="s">
        <v>766</v>
      </c>
      <c r="D41" s="66" t="s">
        <v>767</v>
      </c>
      <c r="E41" s="66" t="s">
        <v>474</v>
      </c>
      <c r="F41" s="8" t="s">
        <v>1160</v>
      </c>
      <c r="G41" s="66" t="s">
        <v>735</v>
      </c>
      <c r="H41" s="66" t="s">
        <v>737</v>
      </c>
      <c r="I41" s="66"/>
      <c r="J41" s="8"/>
      <c r="K41" s="8"/>
    </row>
    <row r="42" customFormat="false" ht="34.5" hidden="false" customHeight="true" outlineLevel="0" collapsed="false">
      <c r="A42" s="66" t="n">
        <v>40</v>
      </c>
      <c r="B42" s="66" t="s">
        <v>765</v>
      </c>
      <c r="C42" s="66" t="s">
        <v>766</v>
      </c>
      <c r="D42" s="66" t="s">
        <v>767</v>
      </c>
      <c r="E42" s="66" t="s">
        <v>1126</v>
      </c>
      <c r="F42" s="8" t="s">
        <v>1161</v>
      </c>
      <c r="G42" s="66" t="s">
        <v>735</v>
      </c>
      <c r="H42" s="66" t="s">
        <v>737</v>
      </c>
      <c r="I42" s="66"/>
      <c r="J42" s="8"/>
      <c r="K42" s="8"/>
    </row>
    <row r="43" customFormat="false" ht="45.75" hidden="false" customHeight="true" outlineLevel="0" collapsed="false">
      <c r="A43" s="66" t="n">
        <v>41</v>
      </c>
      <c r="B43" s="66" t="s">
        <v>765</v>
      </c>
      <c r="C43" s="66" t="s">
        <v>769</v>
      </c>
      <c r="D43" s="66" t="s">
        <v>770</v>
      </c>
      <c r="E43" s="66" t="s">
        <v>963</v>
      </c>
      <c r="F43" s="8" t="s">
        <v>1162</v>
      </c>
      <c r="G43" s="66" t="s">
        <v>735</v>
      </c>
      <c r="H43" s="66" t="s">
        <v>737</v>
      </c>
      <c r="I43" s="66"/>
      <c r="J43" s="8"/>
      <c r="K43" s="8"/>
    </row>
    <row r="44" customFormat="false" ht="45.75" hidden="false" customHeight="true" outlineLevel="0" collapsed="false">
      <c r="A44" s="66" t="n">
        <v>42</v>
      </c>
      <c r="B44" s="66" t="s">
        <v>765</v>
      </c>
      <c r="C44" s="66" t="s">
        <v>769</v>
      </c>
      <c r="D44" s="66" t="s">
        <v>770</v>
      </c>
      <c r="E44" s="66" t="s">
        <v>474</v>
      </c>
      <c r="F44" s="8" t="s">
        <v>1163</v>
      </c>
      <c r="G44" s="66" t="s">
        <v>735</v>
      </c>
      <c r="H44" s="66" t="s">
        <v>737</v>
      </c>
      <c r="I44" s="66"/>
      <c r="J44" s="8"/>
      <c r="K44" s="8"/>
    </row>
    <row r="45" customFormat="false" ht="34.5" hidden="false" customHeight="true" outlineLevel="0" collapsed="false">
      <c r="A45" s="66" t="n">
        <v>43</v>
      </c>
      <c r="B45" s="66" t="s">
        <v>765</v>
      </c>
      <c r="C45" s="66" t="s">
        <v>769</v>
      </c>
      <c r="D45" s="66" t="s">
        <v>770</v>
      </c>
      <c r="E45" s="66" t="s">
        <v>1126</v>
      </c>
      <c r="F45" s="8" t="s">
        <v>1164</v>
      </c>
      <c r="G45" s="66" t="s">
        <v>735</v>
      </c>
      <c r="H45" s="66" t="s">
        <v>737</v>
      </c>
      <c r="I45" s="66"/>
      <c r="J45" s="8"/>
      <c r="K45" s="8"/>
    </row>
    <row r="46" customFormat="false" ht="45.75" hidden="false" customHeight="true" outlineLevel="0" collapsed="false">
      <c r="A46" s="66" t="n">
        <v>44</v>
      </c>
      <c r="B46" s="66" t="s">
        <v>765</v>
      </c>
      <c r="C46" s="66" t="s">
        <v>772</v>
      </c>
      <c r="D46" s="66" t="s">
        <v>773</v>
      </c>
      <c r="E46" s="66" t="s">
        <v>963</v>
      </c>
      <c r="F46" s="8" t="s">
        <v>1165</v>
      </c>
      <c r="G46" s="66" t="s">
        <v>735</v>
      </c>
      <c r="H46" s="66" t="s">
        <v>737</v>
      </c>
      <c r="I46" s="66"/>
      <c r="J46" s="8"/>
      <c r="K46" s="8"/>
    </row>
    <row r="47" customFormat="false" ht="45.75" hidden="false" customHeight="true" outlineLevel="0" collapsed="false">
      <c r="A47" s="66" t="n">
        <v>45</v>
      </c>
      <c r="B47" s="66" t="s">
        <v>765</v>
      </c>
      <c r="C47" s="66" t="s">
        <v>772</v>
      </c>
      <c r="D47" s="66" t="s">
        <v>773</v>
      </c>
      <c r="E47" s="66" t="s">
        <v>474</v>
      </c>
      <c r="F47" s="8" t="s">
        <v>1166</v>
      </c>
      <c r="G47" s="66" t="s">
        <v>735</v>
      </c>
      <c r="H47" s="66" t="s">
        <v>737</v>
      </c>
      <c r="I47" s="66"/>
      <c r="J47" s="8"/>
      <c r="K47" s="8"/>
    </row>
    <row r="48" customFormat="false" ht="34.5" hidden="false" customHeight="true" outlineLevel="0" collapsed="false">
      <c r="A48" s="66" t="n">
        <v>46</v>
      </c>
      <c r="B48" s="66" t="s">
        <v>765</v>
      </c>
      <c r="C48" s="66" t="s">
        <v>772</v>
      </c>
      <c r="D48" s="66" t="s">
        <v>773</v>
      </c>
      <c r="E48" s="66" t="s">
        <v>1126</v>
      </c>
      <c r="F48" s="8" t="s">
        <v>1167</v>
      </c>
      <c r="G48" s="66" t="s">
        <v>735</v>
      </c>
      <c r="H48" s="66" t="s">
        <v>737</v>
      </c>
      <c r="I48" s="66"/>
      <c r="J48" s="8"/>
      <c r="K48" s="8"/>
    </row>
    <row r="49" customFormat="false" ht="34.5" hidden="false" customHeight="true" outlineLevel="0" collapsed="false">
      <c r="A49" s="66" t="n">
        <v>47</v>
      </c>
      <c r="B49" s="66" t="s">
        <v>765</v>
      </c>
      <c r="C49" s="66" t="s">
        <v>775</v>
      </c>
      <c r="D49" s="66" t="s">
        <v>776</v>
      </c>
      <c r="E49" s="66" t="s">
        <v>963</v>
      </c>
      <c r="F49" s="8" t="s">
        <v>1168</v>
      </c>
      <c r="G49" s="66" t="s">
        <v>735</v>
      </c>
      <c r="H49" s="66" t="s">
        <v>737</v>
      </c>
      <c r="I49" s="66"/>
      <c r="J49" s="8"/>
      <c r="K49" s="8"/>
    </row>
    <row r="50" customFormat="false" ht="45.75" hidden="false" customHeight="true" outlineLevel="0" collapsed="false">
      <c r="A50" s="66" t="n">
        <v>48</v>
      </c>
      <c r="B50" s="66" t="s">
        <v>765</v>
      </c>
      <c r="C50" s="66" t="s">
        <v>775</v>
      </c>
      <c r="D50" s="66" t="s">
        <v>776</v>
      </c>
      <c r="E50" s="66" t="s">
        <v>474</v>
      </c>
      <c r="F50" s="8" t="s">
        <v>1169</v>
      </c>
      <c r="G50" s="66" t="s">
        <v>735</v>
      </c>
      <c r="H50" s="66" t="s">
        <v>737</v>
      </c>
      <c r="I50" s="66"/>
      <c r="J50" s="8"/>
      <c r="K50" s="8"/>
    </row>
    <row r="51" customFormat="false" ht="34.5" hidden="false" customHeight="true" outlineLevel="0" collapsed="false">
      <c r="A51" s="66" t="n">
        <v>49</v>
      </c>
      <c r="B51" s="66" t="s">
        <v>765</v>
      </c>
      <c r="C51" s="66" t="s">
        <v>775</v>
      </c>
      <c r="D51" s="66" t="s">
        <v>776</v>
      </c>
      <c r="E51" s="66" t="s">
        <v>1126</v>
      </c>
      <c r="F51" s="8" t="s">
        <v>1170</v>
      </c>
      <c r="G51" s="66" t="s">
        <v>735</v>
      </c>
      <c r="H51" s="66" t="s">
        <v>737</v>
      </c>
      <c r="I51" s="66"/>
      <c r="J51" s="8"/>
      <c r="K51" s="8"/>
    </row>
    <row r="52" customFormat="false" ht="45.75" hidden="false" customHeight="true" outlineLevel="0" collapsed="false">
      <c r="A52" s="66" t="n">
        <v>50</v>
      </c>
      <c r="B52" s="66" t="s">
        <v>765</v>
      </c>
      <c r="C52" s="66" t="s">
        <v>778</v>
      </c>
      <c r="D52" s="66" t="s">
        <v>779</v>
      </c>
      <c r="E52" s="66" t="s">
        <v>963</v>
      </c>
      <c r="F52" s="8" t="s">
        <v>1171</v>
      </c>
      <c r="G52" s="66" t="s">
        <v>735</v>
      </c>
      <c r="H52" s="66" t="s">
        <v>737</v>
      </c>
      <c r="I52" s="66"/>
      <c r="J52" s="8"/>
      <c r="K52" s="8"/>
    </row>
    <row r="53" customFormat="false" ht="45.75" hidden="false" customHeight="true" outlineLevel="0" collapsed="false">
      <c r="A53" s="66" t="n">
        <v>51</v>
      </c>
      <c r="B53" s="66" t="s">
        <v>765</v>
      </c>
      <c r="C53" s="66" t="s">
        <v>778</v>
      </c>
      <c r="D53" s="66" t="s">
        <v>779</v>
      </c>
      <c r="E53" s="66" t="s">
        <v>474</v>
      </c>
      <c r="F53" s="8" t="s">
        <v>1172</v>
      </c>
      <c r="G53" s="66" t="s">
        <v>735</v>
      </c>
      <c r="H53" s="66" t="s">
        <v>737</v>
      </c>
      <c r="I53" s="66"/>
      <c r="J53" s="8"/>
      <c r="K53" s="8"/>
    </row>
    <row r="54" customFormat="false" ht="34.5" hidden="false" customHeight="true" outlineLevel="0" collapsed="false">
      <c r="A54" s="66" t="n">
        <v>52</v>
      </c>
      <c r="B54" s="66" t="s">
        <v>765</v>
      </c>
      <c r="C54" s="66" t="s">
        <v>778</v>
      </c>
      <c r="D54" s="66" t="s">
        <v>779</v>
      </c>
      <c r="E54" s="66" t="s">
        <v>1126</v>
      </c>
      <c r="F54" s="8" t="s">
        <v>1173</v>
      </c>
      <c r="G54" s="66" t="s">
        <v>735</v>
      </c>
      <c r="H54" s="66" t="s">
        <v>737</v>
      </c>
      <c r="I54" s="66"/>
      <c r="J54" s="8"/>
      <c r="K54" s="8"/>
    </row>
    <row r="55" customFormat="false" ht="34.5" hidden="false" customHeight="true" outlineLevel="0" collapsed="false">
      <c r="A55" s="66" t="n">
        <v>53</v>
      </c>
      <c r="B55" s="66" t="s">
        <v>765</v>
      </c>
      <c r="C55" s="66" t="s">
        <v>781</v>
      </c>
      <c r="D55" s="66" t="s">
        <v>782</v>
      </c>
      <c r="E55" s="66" t="s">
        <v>963</v>
      </c>
      <c r="F55" s="8" t="s">
        <v>1174</v>
      </c>
      <c r="G55" s="66" t="s">
        <v>735</v>
      </c>
      <c r="H55" s="66" t="s">
        <v>737</v>
      </c>
      <c r="I55" s="66"/>
      <c r="J55" s="8"/>
      <c r="K55" s="8"/>
    </row>
    <row r="56" customFormat="false" ht="45.75" hidden="false" customHeight="true" outlineLevel="0" collapsed="false">
      <c r="A56" s="66" t="n">
        <v>54</v>
      </c>
      <c r="B56" s="66" t="s">
        <v>765</v>
      </c>
      <c r="C56" s="66" t="s">
        <v>781</v>
      </c>
      <c r="D56" s="66" t="s">
        <v>782</v>
      </c>
      <c r="E56" s="66" t="s">
        <v>474</v>
      </c>
      <c r="F56" s="8" t="s">
        <v>1175</v>
      </c>
      <c r="G56" s="66" t="s">
        <v>735</v>
      </c>
      <c r="H56" s="66" t="s">
        <v>737</v>
      </c>
      <c r="I56" s="66"/>
      <c r="J56" s="8"/>
      <c r="K56" s="8"/>
    </row>
    <row r="57" customFormat="false" ht="34.5" hidden="false" customHeight="true" outlineLevel="0" collapsed="false">
      <c r="A57" s="66" t="n">
        <v>55</v>
      </c>
      <c r="B57" s="66" t="s">
        <v>765</v>
      </c>
      <c r="C57" s="66" t="s">
        <v>781</v>
      </c>
      <c r="D57" s="66" t="s">
        <v>782</v>
      </c>
      <c r="E57" s="66" t="s">
        <v>1126</v>
      </c>
      <c r="F57" s="8" t="s">
        <v>1176</v>
      </c>
      <c r="G57" s="66" t="s">
        <v>735</v>
      </c>
      <c r="H57" s="66" t="s">
        <v>737</v>
      </c>
      <c r="I57" s="66"/>
      <c r="J57" s="8"/>
      <c r="K57" s="8"/>
    </row>
    <row r="58" customFormat="false" ht="45.75" hidden="false" customHeight="true" outlineLevel="0" collapsed="false">
      <c r="A58" s="66" t="n">
        <v>56</v>
      </c>
      <c r="B58" s="66" t="s">
        <v>784</v>
      </c>
      <c r="C58" s="66" t="s">
        <v>785</v>
      </c>
      <c r="D58" s="66" t="s">
        <v>786</v>
      </c>
      <c r="E58" s="66" t="s">
        <v>963</v>
      </c>
      <c r="F58" s="8" t="s">
        <v>1177</v>
      </c>
      <c r="G58" s="66" t="s">
        <v>787</v>
      </c>
      <c r="H58" s="66" t="s">
        <v>737</v>
      </c>
      <c r="I58" s="66"/>
      <c r="J58" s="8"/>
      <c r="K58" s="8"/>
    </row>
    <row r="59" customFormat="false" ht="45.75" hidden="false" customHeight="true" outlineLevel="0" collapsed="false">
      <c r="A59" s="66" t="n">
        <v>57</v>
      </c>
      <c r="B59" s="66" t="s">
        <v>784</v>
      </c>
      <c r="C59" s="66" t="s">
        <v>785</v>
      </c>
      <c r="D59" s="66" t="s">
        <v>786</v>
      </c>
      <c r="E59" s="66" t="s">
        <v>474</v>
      </c>
      <c r="F59" s="8" t="s">
        <v>1178</v>
      </c>
      <c r="G59" s="66" t="s">
        <v>787</v>
      </c>
      <c r="H59" s="66" t="s">
        <v>737</v>
      </c>
      <c r="I59" s="66"/>
      <c r="J59" s="8"/>
      <c r="K59" s="8"/>
    </row>
    <row r="60" customFormat="false" ht="34.5" hidden="false" customHeight="true" outlineLevel="0" collapsed="false">
      <c r="A60" s="66" t="n">
        <v>58</v>
      </c>
      <c r="B60" s="66" t="s">
        <v>784</v>
      </c>
      <c r="C60" s="66" t="s">
        <v>785</v>
      </c>
      <c r="D60" s="66" t="s">
        <v>786</v>
      </c>
      <c r="E60" s="66" t="s">
        <v>1126</v>
      </c>
      <c r="F60" s="8" t="s">
        <v>1179</v>
      </c>
      <c r="G60" s="66" t="s">
        <v>787</v>
      </c>
      <c r="H60" s="66" t="s">
        <v>737</v>
      </c>
      <c r="I60" s="66"/>
      <c r="J60" s="8"/>
      <c r="K60" s="8"/>
    </row>
    <row r="61" customFormat="false" ht="45.75" hidden="false" customHeight="true" outlineLevel="0" collapsed="false">
      <c r="A61" s="66" t="n">
        <v>59</v>
      </c>
      <c r="B61" s="66" t="s">
        <v>784</v>
      </c>
      <c r="C61" s="66" t="s">
        <v>789</v>
      </c>
      <c r="D61" s="66" t="s">
        <v>790</v>
      </c>
      <c r="E61" s="66" t="s">
        <v>963</v>
      </c>
      <c r="F61" s="8" t="s">
        <v>1180</v>
      </c>
      <c r="G61" s="66" t="s">
        <v>787</v>
      </c>
      <c r="H61" s="66" t="s">
        <v>737</v>
      </c>
      <c r="I61" s="66"/>
      <c r="J61" s="8"/>
      <c r="K61" s="8"/>
    </row>
    <row r="62" customFormat="false" ht="45.75" hidden="false" customHeight="true" outlineLevel="0" collapsed="false">
      <c r="A62" s="66" t="n">
        <v>60</v>
      </c>
      <c r="B62" s="66" t="s">
        <v>784</v>
      </c>
      <c r="C62" s="66" t="s">
        <v>789</v>
      </c>
      <c r="D62" s="66" t="s">
        <v>790</v>
      </c>
      <c r="E62" s="66" t="s">
        <v>474</v>
      </c>
      <c r="F62" s="8" t="s">
        <v>1181</v>
      </c>
      <c r="G62" s="66" t="s">
        <v>787</v>
      </c>
      <c r="H62" s="66" t="s">
        <v>737</v>
      </c>
      <c r="I62" s="66"/>
      <c r="J62" s="8"/>
      <c r="K62" s="8"/>
    </row>
    <row r="63" customFormat="false" ht="34.5" hidden="false" customHeight="true" outlineLevel="0" collapsed="false">
      <c r="A63" s="66" t="n">
        <v>61</v>
      </c>
      <c r="B63" s="66" t="s">
        <v>784</v>
      </c>
      <c r="C63" s="66" t="s">
        <v>789</v>
      </c>
      <c r="D63" s="66" t="s">
        <v>790</v>
      </c>
      <c r="E63" s="66" t="s">
        <v>1126</v>
      </c>
      <c r="F63" s="8" t="s">
        <v>1182</v>
      </c>
      <c r="G63" s="66" t="s">
        <v>787</v>
      </c>
      <c r="H63" s="66" t="s">
        <v>737</v>
      </c>
      <c r="I63" s="66"/>
      <c r="J63" s="8"/>
      <c r="K63" s="8"/>
    </row>
    <row r="64" customFormat="false" ht="45.75" hidden="false" customHeight="true" outlineLevel="0" collapsed="false">
      <c r="A64" s="66" t="n">
        <v>62</v>
      </c>
      <c r="B64" s="66" t="s">
        <v>792</v>
      </c>
      <c r="C64" s="66" t="s">
        <v>793</v>
      </c>
      <c r="D64" s="66" t="s">
        <v>794</v>
      </c>
      <c r="E64" s="66" t="s">
        <v>963</v>
      </c>
      <c r="F64" s="8" t="s">
        <v>1183</v>
      </c>
      <c r="G64" s="66" t="s">
        <v>735</v>
      </c>
      <c r="H64" s="66" t="s">
        <v>737</v>
      </c>
      <c r="I64" s="66"/>
      <c r="J64" s="8"/>
      <c r="K64" s="8"/>
    </row>
    <row r="65" customFormat="false" ht="45.75" hidden="false" customHeight="true" outlineLevel="0" collapsed="false">
      <c r="A65" s="66" t="n">
        <v>63</v>
      </c>
      <c r="B65" s="66" t="s">
        <v>792</v>
      </c>
      <c r="C65" s="66" t="s">
        <v>793</v>
      </c>
      <c r="D65" s="66" t="s">
        <v>794</v>
      </c>
      <c r="E65" s="66" t="s">
        <v>474</v>
      </c>
      <c r="F65" s="8" t="s">
        <v>1184</v>
      </c>
      <c r="G65" s="66" t="s">
        <v>735</v>
      </c>
      <c r="H65" s="66" t="s">
        <v>737</v>
      </c>
      <c r="I65" s="66"/>
      <c r="J65" s="8"/>
      <c r="K65" s="8"/>
    </row>
    <row r="66" customFormat="false" ht="34.5" hidden="false" customHeight="true" outlineLevel="0" collapsed="false">
      <c r="A66" s="66" t="n">
        <v>64</v>
      </c>
      <c r="B66" s="66" t="s">
        <v>792</v>
      </c>
      <c r="C66" s="66" t="s">
        <v>793</v>
      </c>
      <c r="D66" s="66" t="s">
        <v>794</v>
      </c>
      <c r="E66" s="66" t="s">
        <v>1126</v>
      </c>
      <c r="F66" s="8" t="s">
        <v>1185</v>
      </c>
      <c r="G66" s="66" t="s">
        <v>735</v>
      </c>
      <c r="H66" s="66" t="s">
        <v>737</v>
      </c>
      <c r="I66" s="66"/>
      <c r="J66" s="8"/>
      <c r="K66" s="8"/>
    </row>
    <row r="67" customFormat="false" ht="34.5" hidden="false" customHeight="true" outlineLevel="0" collapsed="false">
      <c r="A67" s="66" t="n">
        <v>65</v>
      </c>
      <c r="B67" s="66" t="s">
        <v>792</v>
      </c>
      <c r="C67" s="66" t="s">
        <v>796</v>
      </c>
      <c r="D67" s="66" t="s">
        <v>797</v>
      </c>
      <c r="E67" s="66" t="s">
        <v>963</v>
      </c>
      <c r="F67" s="8" t="s">
        <v>1186</v>
      </c>
      <c r="G67" s="66" t="s">
        <v>735</v>
      </c>
      <c r="H67" s="66" t="s">
        <v>737</v>
      </c>
      <c r="I67" s="66"/>
      <c r="J67" s="8"/>
      <c r="K67" s="8"/>
    </row>
    <row r="68" customFormat="false" ht="45.75" hidden="false" customHeight="true" outlineLevel="0" collapsed="false">
      <c r="A68" s="66" t="n">
        <v>66</v>
      </c>
      <c r="B68" s="66" t="s">
        <v>792</v>
      </c>
      <c r="C68" s="66" t="s">
        <v>796</v>
      </c>
      <c r="D68" s="66" t="s">
        <v>797</v>
      </c>
      <c r="E68" s="66" t="s">
        <v>474</v>
      </c>
      <c r="F68" s="8" t="s">
        <v>1187</v>
      </c>
      <c r="G68" s="66" t="s">
        <v>735</v>
      </c>
      <c r="H68" s="66" t="s">
        <v>737</v>
      </c>
      <c r="I68" s="66"/>
      <c r="J68" s="8"/>
      <c r="K68" s="8"/>
    </row>
    <row r="69" customFormat="false" ht="34.5" hidden="false" customHeight="true" outlineLevel="0" collapsed="false">
      <c r="A69" s="66" t="n">
        <v>67</v>
      </c>
      <c r="B69" s="66" t="s">
        <v>792</v>
      </c>
      <c r="C69" s="66" t="s">
        <v>796</v>
      </c>
      <c r="D69" s="66" t="s">
        <v>797</v>
      </c>
      <c r="E69" s="66" t="s">
        <v>1126</v>
      </c>
      <c r="F69" s="8" t="s">
        <v>1188</v>
      </c>
      <c r="G69" s="66" t="s">
        <v>735</v>
      </c>
      <c r="H69" s="66" t="s">
        <v>737</v>
      </c>
      <c r="I69" s="66"/>
      <c r="J69" s="8"/>
      <c r="K69" s="8"/>
    </row>
    <row r="70" customFormat="false" ht="45.75" hidden="false" customHeight="true" outlineLevel="0" collapsed="false">
      <c r="A70" s="66" t="n">
        <v>68</v>
      </c>
      <c r="B70" s="66" t="s">
        <v>792</v>
      </c>
      <c r="C70" s="66" t="s">
        <v>799</v>
      </c>
      <c r="D70" s="66" t="s">
        <v>800</v>
      </c>
      <c r="E70" s="66" t="s">
        <v>963</v>
      </c>
      <c r="F70" s="8" t="s">
        <v>1189</v>
      </c>
      <c r="G70" s="66" t="s">
        <v>735</v>
      </c>
      <c r="H70" s="66" t="s">
        <v>737</v>
      </c>
      <c r="I70" s="66"/>
      <c r="J70" s="8"/>
      <c r="K70" s="8"/>
    </row>
    <row r="71" customFormat="false" ht="45.75" hidden="false" customHeight="true" outlineLevel="0" collapsed="false">
      <c r="A71" s="66" t="n">
        <v>69</v>
      </c>
      <c r="B71" s="66" t="s">
        <v>792</v>
      </c>
      <c r="C71" s="66" t="s">
        <v>799</v>
      </c>
      <c r="D71" s="66" t="s">
        <v>800</v>
      </c>
      <c r="E71" s="66" t="s">
        <v>474</v>
      </c>
      <c r="F71" s="8" t="s">
        <v>1190</v>
      </c>
      <c r="G71" s="66" t="s">
        <v>735</v>
      </c>
      <c r="H71" s="66" t="s">
        <v>737</v>
      </c>
      <c r="I71" s="66"/>
      <c r="J71" s="8"/>
      <c r="K71" s="8"/>
    </row>
    <row r="72" customFormat="false" ht="34.5" hidden="false" customHeight="true" outlineLevel="0" collapsed="false">
      <c r="A72" s="66" t="n">
        <v>70</v>
      </c>
      <c r="B72" s="66" t="s">
        <v>792</v>
      </c>
      <c r="C72" s="66" t="s">
        <v>799</v>
      </c>
      <c r="D72" s="66" t="s">
        <v>800</v>
      </c>
      <c r="E72" s="66" t="s">
        <v>1126</v>
      </c>
      <c r="F72" s="8" t="s">
        <v>1191</v>
      </c>
      <c r="G72" s="66" t="s">
        <v>735</v>
      </c>
      <c r="H72" s="66" t="s">
        <v>737</v>
      </c>
      <c r="I72" s="66"/>
      <c r="J72" s="8"/>
      <c r="K72" s="8"/>
    </row>
    <row r="73" customFormat="false" ht="34.5" hidden="false" customHeight="true" outlineLevel="0" collapsed="false">
      <c r="A73" s="66" t="n">
        <v>71</v>
      </c>
      <c r="B73" s="66" t="s">
        <v>792</v>
      </c>
      <c r="C73" s="66" t="s">
        <v>802</v>
      </c>
      <c r="D73" s="66" t="s">
        <v>803</v>
      </c>
      <c r="E73" s="66" t="s">
        <v>963</v>
      </c>
      <c r="F73" s="8" t="s">
        <v>1192</v>
      </c>
      <c r="G73" s="66" t="s">
        <v>804</v>
      </c>
      <c r="H73" s="66" t="s">
        <v>737</v>
      </c>
      <c r="I73" s="66"/>
      <c r="J73" s="8"/>
      <c r="K73" s="8"/>
    </row>
    <row r="74" customFormat="false" ht="45.75" hidden="false" customHeight="true" outlineLevel="0" collapsed="false">
      <c r="A74" s="66" t="n">
        <v>72</v>
      </c>
      <c r="B74" s="66" t="s">
        <v>792</v>
      </c>
      <c r="C74" s="66" t="s">
        <v>802</v>
      </c>
      <c r="D74" s="66" t="s">
        <v>803</v>
      </c>
      <c r="E74" s="66" t="s">
        <v>474</v>
      </c>
      <c r="F74" s="8" t="s">
        <v>1193</v>
      </c>
      <c r="G74" s="66" t="s">
        <v>804</v>
      </c>
      <c r="H74" s="66" t="s">
        <v>737</v>
      </c>
      <c r="I74" s="66"/>
      <c r="J74" s="8"/>
      <c r="K74" s="8"/>
    </row>
    <row r="75" customFormat="false" ht="34.5" hidden="false" customHeight="true" outlineLevel="0" collapsed="false">
      <c r="A75" s="66" t="n">
        <v>73</v>
      </c>
      <c r="B75" s="66" t="s">
        <v>792</v>
      </c>
      <c r="C75" s="66" t="s">
        <v>802</v>
      </c>
      <c r="D75" s="66" t="s">
        <v>803</v>
      </c>
      <c r="E75" s="66" t="s">
        <v>1126</v>
      </c>
      <c r="F75" s="8" t="s">
        <v>1194</v>
      </c>
      <c r="G75" s="66" t="s">
        <v>804</v>
      </c>
      <c r="H75" s="66" t="s">
        <v>737</v>
      </c>
      <c r="I75" s="66"/>
      <c r="J75" s="8"/>
      <c r="K75" s="8"/>
    </row>
    <row r="76" customFormat="false" ht="45.75" hidden="false" customHeight="true" outlineLevel="0" collapsed="false">
      <c r="A76" s="66" t="n">
        <v>74</v>
      </c>
      <c r="B76" s="66" t="s">
        <v>806</v>
      </c>
      <c r="C76" s="66" t="s">
        <v>807</v>
      </c>
      <c r="D76" s="66" t="s">
        <v>808</v>
      </c>
      <c r="E76" s="66" t="s">
        <v>963</v>
      </c>
      <c r="F76" s="8" t="s">
        <v>1195</v>
      </c>
      <c r="G76" s="66" t="s">
        <v>725</v>
      </c>
      <c r="H76" s="66" t="s">
        <v>737</v>
      </c>
      <c r="I76" s="66"/>
      <c r="J76" s="8"/>
      <c r="K76" s="8"/>
    </row>
    <row r="77" customFormat="false" ht="45.75" hidden="false" customHeight="true" outlineLevel="0" collapsed="false">
      <c r="A77" s="66" t="n">
        <v>75</v>
      </c>
      <c r="B77" s="66" t="s">
        <v>806</v>
      </c>
      <c r="C77" s="66" t="s">
        <v>807</v>
      </c>
      <c r="D77" s="66" t="s">
        <v>808</v>
      </c>
      <c r="E77" s="66" t="s">
        <v>474</v>
      </c>
      <c r="F77" s="8" t="s">
        <v>1196</v>
      </c>
      <c r="G77" s="66" t="s">
        <v>725</v>
      </c>
      <c r="H77" s="66" t="s">
        <v>737</v>
      </c>
      <c r="I77" s="66"/>
      <c r="J77" s="8"/>
      <c r="K77" s="8"/>
    </row>
    <row r="78" customFormat="false" ht="34.5" hidden="false" customHeight="true" outlineLevel="0" collapsed="false">
      <c r="A78" s="66" t="n">
        <v>76</v>
      </c>
      <c r="B78" s="66" t="s">
        <v>806</v>
      </c>
      <c r="C78" s="66" t="s">
        <v>807</v>
      </c>
      <c r="D78" s="66" t="s">
        <v>808</v>
      </c>
      <c r="E78" s="66" t="s">
        <v>1126</v>
      </c>
      <c r="F78" s="8" t="s">
        <v>1197</v>
      </c>
      <c r="G78" s="66" t="s">
        <v>725</v>
      </c>
      <c r="H78" s="66" t="s">
        <v>737</v>
      </c>
      <c r="I78" s="66"/>
      <c r="J78" s="8"/>
      <c r="K78" s="8"/>
    </row>
    <row r="79" customFormat="false" ht="45.75" hidden="false" customHeight="true" outlineLevel="0" collapsed="false">
      <c r="A79" s="66" t="n">
        <v>77</v>
      </c>
      <c r="B79" s="66" t="s">
        <v>810</v>
      </c>
      <c r="C79" s="66" t="s">
        <v>811</v>
      </c>
      <c r="D79" s="66" t="s">
        <v>812</v>
      </c>
      <c r="E79" s="66" t="s">
        <v>963</v>
      </c>
      <c r="F79" s="8" t="s">
        <v>1198</v>
      </c>
      <c r="G79" s="66" t="s">
        <v>813</v>
      </c>
      <c r="H79" s="66" t="s">
        <v>815</v>
      </c>
      <c r="I79" s="66"/>
      <c r="J79" s="8"/>
      <c r="K79" s="8"/>
    </row>
    <row r="80" customFormat="false" ht="45.75" hidden="false" customHeight="true" outlineLevel="0" collapsed="false">
      <c r="A80" s="66" t="n">
        <v>78</v>
      </c>
      <c r="B80" s="66" t="s">
        <v>810</v>
      </c>
      <c r="C80" s="66" t="s">
        <v>811</v>
      </c>
      <c r="D80" s="66" t="s">
        <v>812</v>
      </c>
      <c r="E80" s="66" t="s">
        <v>474</v>
      </c>
      <c r="F80" s="8" t="s">
        <v>1199</v>
      </c>
      <c r="G80" s="66" t="s">
        <v>813</v>
      </c>
      <c r="H80" s="66" t="s">
        <v>815</v>
      </c>
      <c r="I80" s="66"/>
      <c r="J80" s="8"/>
      <c r="K80" s="8"/>
    </row>
    <row r="81" customFormat="false" ht="34.5" hidden="false" customHeight="true" outlineLevel="0" collapsed="false">
      <c r="A81" s="66" t="n">
        <v>79</v>
      </c>
      <c r="B81" s="66" t="s">
        <v>810</v>
      </c>
      <c r="C81" s="66" t="s">
        <v>811</v>
      </c>
      <c r="D81" s="66" t="s">
        <v>812</v>
      </c>
      <c r="E81" s="66" t="s">
        <v>1126</v>
      </c>
      <c r="F81" s="8" t="s">
        <v>1200</v>
      </c>
      <c r="G81" s="66" t="s">
        <v>813</v>
      </c>
      <c r="H81" s="66" t="s">
        <v>815</v>
      </c>
      <c r="I81" s="66"/>
      <c r="J81" s="8"/>
      <c r="K81" s="8"/>
    </row>
    <row r="82" customFormat="false" ht="45.75" hidden="false" customHeight="true" outlineLevel="0" collapsed="false">
      <c r="A82" s="66" t="n">
        <v>80</v>
      </c>
      <c r="B82" s="66" t="s">
        <v>810</v>
      </c>
      <c r="C82" s="66" t="s">
        <v>816</v>
      </c>
      <c r="D82" s="66" t="s">
        <v>817</v>
      </c>
      <c r="E82" s="66" t="s">
        <v>963</v>
      </c>
      <c r="F82" s="8" t="s">
        <v>1201</v>
      </c>
      <c r="G82" s="66" t="s">
        <v>818</v>
      </c>
      <c r="H82" s="66" t="s">
        <v>815</v>
      </c>
      <c r="I82" s="66"/>
      <c r="J82" s="8"/>
      <c r="K82" s="8"/>
    </row>
    <row r="83" customFormat="false" ht="45.75" hidden="false" customHeight="true" outlineLevel="0" collapsed="false">
      <c r="A83" s="66" t="n">
        <v>81</v>
      </c>
      <c r="B83" s="66" t="s">
        <v>810</v>
      </c>
      <c r="C83" s="66" t="s">
        <v>816</v>
      </c>
      <c r="D83" s="66" t="s">
        <v>817</v>
      </c>
      <c r="E83" s="66" t="s">
        <v>474</v>
      </c>
      <c r="F83" s="8" t="s">
        <v>1202</v>
      </c>
      <c r="G83" s="66" t="s">
        <v>818</v>
      </c>
      <c r="H83" s="66" t="s">
        <v>815</v>
      </c>
      <c r="I83" s="66"/>
      <c r="J83" s="8"/>
      <c r="K83" s="8"/>
    </row>
    <row r="84" customFormat="false" ht="34.5" hidden="false" customHeight="true" outlineLevel="0" collapsed="false">
      <c r="A84" s="66" t="n">
        <v>82</v>
      </c>
      <c r="B84" s="66" t="s">
        <v>810</v>
      </c>
      <c r="C84" s="66" t="s">
        <v>816</v>
      </c>
      <c r="D84" s="66" t="s">
        <v>817</v>
      </c>
      <c r="E84" s="66" t="s">
        <v>1126</v>
      </c>
      <c r="F84" s="8" t="s">
        <v>1203</v>
      </c>
      <c r="G84" s="66" t="s">
        <v>818</v>
      </c>
      <c r="H84" s="66" t="s">
        <v>815</v>
      </c>
      <c r="I84" s="66"/>
      <c r="J84" s="8"/>
      <c r="K84" s="8"/>
    </row>
    <row r="85" customFormat="false" ht="45.75" hidden="false" customHeight="true" outlineLevel="0" collapsed="false">
      <c r="A85" s="66" t="n">
        <v>83</v>
      </c>
      <c r="B85" s="66" t="s">
        <v>810</v>
      </c>
      <c r="C85" s="66" t="s">
        <v>820</v>
      </c>
      <c r="D85" s="66" t="s">
        <v>821</v>
      </c>
      <c r="E85" s="66" t="s">
        <v>963</v>
      </c>
      <c r="F85" s="8" t="s">
        <v>1204</v>
      </c>
      <c r="G85" s="66" t="s">
        <v>818</v>
      </c>
      <c r="H85" s="66" t="s">
        <v>815</v>
      </c>
      <c r="I85" s="66"/>
      <c r="J85" s="8"/>
      <c r="K85" s="8"/>
    </row>
    <row r="86" customFormat="false" ht="45.75" hidden="false" customHeight="true" outlineLevel="0" collapsed="false">
      <c r="A86" s="66" t="n">
        <v>84</v>
      </c>
      <c r="B86" s="66" t="s">
        <v>810</v>
      </c>
      <c r="C86" s="66" t="s">
        <v>820</v>
      </c>
      <c r="D86" s="66" t="s">
        <v>821</v>
      </c>
      <c r="E86" s="66" t="s">
        <v>474</v>
      </c>
      <c r="F86" s="8" t="s">
        <v>1205</v>
      </c>
      <c r="G86" s="66" t="s">
        <v>818</v>
      </c>
      <c r="H86" s="66" t="s">
        <v>815</v>
      </c>
      <c r="I86" s="66"/>
      <c r="J86" s="8"/>
      <c r="K86" s="8"/>
    </row>
    <row r="87" customFormat="false" ht="34.5" hidden="false" customHeight="true" outlineLevel="0" collapsed="false">
      <c r="A87" s="66" t="n">
        <v>85</v>
      </c>
      <c r="B87" s="66" t="s">
        <v>810</v>
      </c>
      <c r="C87" s="66" t="s">
        <v>820</v>
      </c>
      <c r="D87" s="66" t="s">
        <v>821</v>
      </c>
      <c r="E87" s="66" t="s">
        <v>1126</v>
      </c>
      <c r="F87" s="8" t="s">
        <v>1206</v>
      </c>
      <c r="G87" s="66" t="s">
        <v>818</v>
      </c>
      <c r="H87" s="66" t="s">
        <v>815</v>
      </c>
      <c r="I87" s="66"/>
      <c r="J87" s="8"/>
      <c r="K87" s="8"/>
    </row>
    <row r="88" customFormat="false" ht="45.75" hidden="false" customHeight="true" outlineLevel="0" collapsed="false">
      <c r="A88" s="66" t="n">
        <v>86</v>
      </c>
      <c r="B88" s="66" t="s">
        <v>823</v>
      </c>
      <c r="C88" s="66" t="s">
        <v>824</v>
      </c>
      <c r="D88" s="66" t="s">
        <v>825</v>
      </c>
      <c r="E88" s="66" t="s">
        <v>963</v>
      </c>
      <c r="F88" s="8" t="s">
        <v>1207</v>
      </c>
      <c r="G88" s="66" t="s">
        <v>735</v>
      </c>
      <c r="H88" s="66" t="s">
        <v>737</v>
      </c>
      <c r="I88" s="66"/>
      <c r="J88" s="8"/>
      <c r="K88" s="8"/>
    </row>
    <row r="89" customFormat="false" ht="45.75" hidden="false" customHeight="true" outlineLevel="0" collapsed="false">
      <c r="A89" s="66" t="n">
        <v>87</v>
      </c>
      <c r="B89" s="66" t="s">
        <v>823</v>
      </c>
      <c r="C89" s="66" t="s">
        <v>824</v>
      </c>
      <c r="D89" s="66" t="s">
        <v>825</v>
      </c>
      <c r="E89" s="66" t="s">
        <v>474</v>
      </c>
      <c r="F89" s="8" t="s">
        <v>1208</v>
      </c>
      <c r="G89" s="66" t="s">
        <v>735</v>
      </c>
      <c r="H89" s="66" t="s">
        <v>737</v>
      </c>
      <c r="I89" s="66"/>
      <c r="J89" s="8"/>
      <c r="K89" s="8"/>
    </row>
    <row r="90" customFormat="false" ht="34.5" hidden="false" customHeight="true" outlineLevel="0" collapsed="false">
      <c r="A90" s="66" t="n">
        <v>88</v>
      </c>
      <c r="B90" s="66" t="s">
        <v>823</v>
      </c>
      <c r="C90" s="66" t="s">
        <v>824</v>
      </c>
      <c r="D90" s="66" t="s">
        <v>825</v>
      </c>
      <c r="E90" s="66" t="s">
        <v>1126</v>
      </c>
      <c r="F90" s="8" t="s">
        <v>1209</v>
      </c>
      <c r="G90" s="66" t="s">
        <v>735</v>
      </c>
      <c r="H90" s="66" t="s">
        <v>737</v>
      </c>
      <c r="I90" s="66"/>
      <c r="J90" s="8"/>
      <c r="K90" s="8"/>
    </row>
    <row r="91" customFormat="false" ht="34.5" hidden="false" customHeight="true" outlineLevel="0" collapsed="false">
      <c r="A91" s="66" t="n">
        <v>89</v>
      </c>
      <c r="B91" s="66" t="s">
        <v>823</v>
      </c>
      <c r="C91" s="66" t="s">
        <v>827</v>
      </c>
      <c r="D91" s="66" t="s">
        <v>828</v>
      </c>
      <c r="E91" s="66" t="s">
        <v>963</v>
      </c>
      <c r="F91" s="8" t="s">
        <v>1210</v>
      </c>
      <c r="G91" s="66" t="s">
        <v>829</v>
      </c>
      <c r="H91" s="66" t="s">
        <v>737</v>
      </c>
      <c r="I91" s="66"/>
      <c r="J91" s="8"/>
      <c r="K91" s="8"/>
    </row>
    <row r="92" customFormat="false" ht="45.75" hidden="false" customHeight="true" outlineLevel="0" collapsed="false">
      <c r="A92" s="66" t="n">
        <v>90</v>
      </c>
      <c r="B92" s="66" t="s">
        <v>823</v>
      </c>
      <c r="C92" s="66" t="s">
        <v>827</v>
      </c>
      <c r="D92" s="66" t="s">
        <v>828</v>
      </c>
      <c r="E92" s="66" t="s">
        <v>474</v>
      </c>
      <c r="F92" s="8" t="s">
        <v>1211</v>
      </c>
      <c r="G92" s="66" t="s">
        <v>829</v>
      </c>
      <c r="H92" s="66" t="s">
        <v>737</v>
      </c>
      <c r="I92" s="66"/>
      <c r="J92" s="8"/>
      <c r="K92" s="8"/>
    </row>
    <row r="93" customFormat="false" ht="34.5" hidden="false" customHeight="true" outlineLevel="0" collapsed="false">
      <c r="A93" s="66" t="n">
        <v>91</v>
      </c>
      <c r="B93" s="66" t="s">
        <v>823</v>
      </c>
      <c r="C93" s="66" t="s">
        <v>827</v>
      </c>
      <c r="D93" s="66" t="s">
        <v>828</v>
      </c>
      <c r="E93" s="66" t="s">
        <v>1126</v>
      </c>
      <c r="F93" s="8" t="s">
        <v>1212</v>
      </c>
      <c r="G93" s="66" t="s">
        <v>829</v>
      </c>
      <c r="H93" s="66" t="s">
        <v>737</v>
      </c>
      <c r="I93" s="66"/>
      <c r="J93" s="8"/>
      <c r="K93" s="8"/>
    </row>
    <row r="94" customFormat="false" ht="45.75" hidden="false" customHeight="true" outlineLevel="0" collapsed="false">
      <c r="A94" s="66" t="n">
        <v>92</v>
      </c>
      <c r="B94" s="66" t="s">
        <v>823</v>
      </c>
      <c r="C94" s="66" t="s">
        <v>831</v>
      </c>
      <c r="D94" s="66" t="s">
        <v>832</v>
      </c>
      <c r="E94" s="66" t="s">
        <v>963</v>
      </c>
      <c r="F94" s="8" t="s">
        <v>1213</v>
      </c>
      <c r="G94" s="66" t="s">
        <v>833</v>
      </c>
      <c r="H94" s="66" t="s">
        <v>737</v>
      </c>
      <c r="I94" s="66"/>
      <c r="J94" s="8"/>
      <c r="K94" s="8"/>
    </row>
    <row r="95" customFormat="false" ht="45.75" hidden="false" customHeight="true" outlineLevel="0" collapsed="false">
      <c r="A95" s="66" t="n">
        <v>93</v>
      </c>
      <c r="B95" s="66" t="s">
        <v>823</v>
      </c>
      <c r="C95" s="66" t="s">
        <v>831</v>
      </c>
      <c r="D95" s="66" t="s">
        <v>832</v>
      </c>
      <c r="E95" s="66" t="s">
        <v>474</v>
      </c>
      <c r="F95" s="8" t="s">
        <v>1214</v>
      </c>
      <c r="G95" s="66" t="s">
        <v>833</v>
      </c>
      <c r="H95" s="66" t="s">
        <v>737</v>
      </c>
      <c r="I95" s="66"/>
      <c r="J95" s="8"/>
      <c r="K95" s="8"/>
    </row>
    <row r="96" customFormat="false" ht="34.5" hidden="false" customHeight="true" outlineLevel="0" collapsed="false">
      <c r="A96" s="66" t="n">
        <v>94</v>
      </c>
      <c r="B96" s="66" t="s">
        <v>823</v>
      </c>
      <c r="C96" s="66" t="s">
        <v>831</v>
      </c>
      <c r="D96" s="66" t="s">
        <v>832</v>
      </c>
      <c r="E96" s="66" t="s">
        <v>1126</v>
      </c>
      <c r="F96" s="8" t="s">
        <v>1215</v>
      </c>
      <c r="G96" s="66" t="s">
        <v>833</v>
      </c>
      <c r="H96" s="66" t="s">
        <v>737</v>
      </c>
      <c r="I96" s="66"/>
      <c r="J96" s="8"/>
      <c r="K96" s="8"/>
    </row>
    <row r="97" customFormat="false" ht="45.75" hidden="false" customHeight="true" outlineLevel="0" collapsed="false">
      <c r="A97" s="66" t="n">
        <v>95</v>
      </c>
      <c r="B97" s="66" t="s">
        <v>835</v>
      </c>
      <c r="C97" s="66" t="s">
        <v>836</v>
      </c>
      <c r="D97" s="66" t="s">
        <v>837</v>
      </c>
      <c r="E97" s="66" t="s">
        <v>963</v>
      </c>
      <c r="F97" s="8" t="s">
        <v>1216</v>
      </c>
      <c r="G97" s="66" t="s">
        <v>714</v>
      </c>
      <c r="H97" s="66" t="s">
        <v>839</v>
      </c>
      <c r="I97" s="66"/>
      <c r="J97" s="8"/>
      <c r="K97" s="8"/>
    </row>
    <row r="98" customFormat="false" ht="45.75" hidden="false" customHeight="true" outlineLevel="0" collapsed="false">
      <c r="A98" s="66" t="n">
        <v>96</v>
      </c>
      <c r="B98" s="66" t="s">
        <v>835</v>
      </c>
      <c r="C98" s="66" t="s">
        <v>836</v>
      </c>
      <c r="D98" s="66" t="s">
        <v>837</v>
      </c>
      <c r="E98" s="66" t="s">
        <v>474</v>
      </c>
      <c r="F98" s="8" t="s">
        <v>1217</v>
      </c>
      <c r="G98" s="66" t="s">
        <v>714</v>
      </c>
      <c r="H98" s="66" t="s">
        <v>839</v>
      </c>
      <c r="I98" s="66"/>
      <c r="J98" s="8"/>
      <c r="K98" s="8"/>
    </row>
    <row r="99" customFormat="false" ht="45.75" hidden="false" customHeight="true" outlineLevel="0" collapsed="false">
      <c r="A99" s="66" t="n">
        <v>97</v>
      </c>
      <c r="B99" s="66" t="s">
        <v>835</v>
      </c>
      <c r="C99" s="66" t="s">
        <v>836</v>
      </c>
      <c r="D99" s="66" t="s">
        <v>837</v>
      </c>
      <c r="E99" s="66" t="s">
        <v>1126</v>
      </c>
      <c r="F99" s="8" t="s">
        <v>1218</v>
      </c>
      <c r="G99" s="66" t="s">
        <v>714</v>
      </c>
      <c r="H99" s="66" t="s">
        <v>839</v>
      </c>
      <c r="I99" s="66"/>
      <c r="J99" s="8"/>
      <c r="K99" s="8"/>
    </row>
    <row r="100" customFormat="false" ht="34.5" hidden="false" customHeight="true" outlineLevel="0" collapsed="false">
      <c r="A100" s="66" t="n">
        <v>98</v>
      </c>
      <c r="B100" s="66" t="s">
        <v>742</v>
      </c>
      <c r="C100" s="66" t="s">
        <v>320</v>
      </c>
      <c r="D100" s="66" t="s">
        <v>746</v>
      </c>
      <c r="E100" s="66" t="s">
        <v>1109</v>
      </c>
      <c r="F100" s="8" t="s">
        <v>1219</v>
      </c>
      <c r="G100" s="66" t="s">
        <v>735</v>
      </c>
      <c r="H100" s="66" t="s">
        <v>737</v>
      </c>
      <c r="I100" s="66"/>
      <c r="J100" s="8"/>
      <c r="K100" s="8"/>
    </row>
    <row r="101" customFormat="false" ht="34.5" hidden="false" customHeight="true" outlineLevel="0" collapsed="false">
      <c r="A101" s="66" t="n">
        <v>99</v>
      </c>
      <c r="B101" s="66" t="s">
        <v>742</v>
      </c>
      <c r="C101" s="66" t="s">
        <v>748</v>
      </c>
      <c r="D101" s="66" t="s">
        <v>749</v>
      </c>
      <c r="E101" s="66" t="s">
        <v>1109</v>
      </c>
      <c r="F101" s="8" t="s">
        <v>1220</v>
      </c>
      <c r="G101" s="66" t="s">
        <v>735</v>
      </c>
      <c r="H101" s="66" t="s">
        <v>737</v>
      </c>
      <c r="I101" s="66"/>
      <c r="J101" s="8"/>
      <c r="K101" s="8"/>
    </row>
    <row r="102" customFormat="false" ht="34.5" hidden="false" customHeight="true" outlineLevel="0" collapsed="false">
      <c r="A102" s="66" t="n">
        <v>100</v>
      </c>
      <c r="B102" s="66" t="s">
        <v>742</v>
      </c>
      <c r="C102" s="66" t="s">
        <v>760</v>
      </c>
      <c r="D102" s="66" t="s">
        <v>761</v>
      </c>
      <c r="E102" s="66" t="s">
        <v>1109</v>
      </c>
      <c r="F102" s="8" t="s">
        <v>1221</v>
      </c>
      <c r="G102" s="66" t="s">
        <v>735</v>
      </c>
      <c r="H102" s="66" t="s">
        <v>737</v>
      </c>
      <c r="I102" s="66"/>
      <c r="J102" s="8"/>
      <c r="K102" s="8"/>
    </row>
    <row r="103" customFormat="false" ht="23.25" hidden="false" customHeight="true" outlineLevel="0" collapsed="false">
      <c r="A103" s="66" t="n">
        <v>101</v>
      </c>
      <c r="B103" s="66" t="s">
        <v>742</v>
      </c>
      <c r="C103" s="66" t="s">
        <v>760</v>
      </c>
      <c r="D103" s="66" t="s">
        <v>761</v>
      </c>
      <c r="E103" s="66" t="s">
        <v>1109</v>
      </c>
      <c r="F103" s="8" t="s">
        <v>1222</v>
      </c>
      <c r="G103" s="66" t="s">
        <v>735</v>
      </c>
      <c r="H103" s="66" t="s">
        <v>737</v>
      </c>
      <c r="I103" s="66"/>
      <c r="J103" s="8"/>
      <c r="K103" s="8"/>
    </row>
    <row r="104" customFormat="false" ht="34.5" hidden="false" customHeight="true" outlineLevel="0" collapsed="false">
      <c r="A104" s="66" t="n">
        <v>102</v>
      </c>
      <c r="B104" s="66" t="s">
        <v>742</v>
      </c>
      <c r="C104" s="66" t="s">
        <v>760</v>
      </c>
      <c r="D104" s="66" t="s">
        <v>761</v>
      </c>
      <c r="E104" s="66" t="s">
        <v>1109</v>
      </c>
      <c r="F104" s="8" t="s">
        <v>1223</v>
      </c>
      <c r="G104" s="66" t="s">
        <v>735</v>
      </c>
      <c r="H104" s="66" t="s">
        <v>737</v>
      </c>
      <c r="I104" s="66"/>
      <c r="J104" s="8"/>
      <c r="K104" s="8"/>
    </row>
    <row r="105" customFormat="false" ht="34.5" hidden="false" customHeight="true" outlineLevel="0" collapsed="false">
      <c r="A105" s="66" t="n">
        <v>103</v>
      </c>
      <c r="B105" s="66" t="s">
        <v>784</v>
      </c>
      <c r="C105" s="66" t="s">
        <v>785</v>
      </c>
      <c r="D105" s="66" t="s">
        <v>786</v>
      </c>
      <c r="E105" s="66" t="s">
        <v>1109</v>
      </c>
      <c r="F105" s="8" t="s">
        <v>1224</v>
      </c>
      <c r="G105" s="66" t="s">
        <v>787</v>
      </c>
      <c r="H105" s="66" t="s">
        <v>737</v>
      </c>
      <c r="I105" s="66"/>
      <c r="J105" s="8"/>
      <c r="K105" s="8"/>
    </row>
    <row r="106" customFormat="false" ht="34.5" hidden="false" customHeight="true" outlineLevel="0" collapsed="false">
      <c r="A106" s="66" t="n">
        <v>104</v>
      </c>
      <c r="B106" s="66" t="s">
        <v>784</v>
      </c>
      <c r="C106" s="66" t="s">
        <v>789</v>
      </c>
      <c r="D106" s="66" t="s">
        <v>790</v>
      </c>
      <c r="E106" s="66" t="s">
        <v>1109</v>
      </c>
      <c r="F106" s="8" t="s">
        <v>1225</v>
      </c>
      <c r="G106" s="66" t="s">
        <v>787</v>
      </c>
      <c r="H106" s="66" t="s">
        <v>737</v>
      </c>
      <c r="I106" s="66"/>
      <c r="J106" s="8"/>
      <c r="K106" s="8"/>
    </row>
    <row r="107" customFormat="false" ht="34.5" hidden="false" customHeight="true" outlineLevel="0" collapsed="false">
      <c r="A107" s="66" t="n">
        <v>105</v>
      </c>
      <c r="B107" s="66" t="s">
        <v>823</v>
      </c>
      <c r="C107" s="66" t="s">
        <v>827</v>
      </c>
      <c r="D107" s="66" t="s">
        <v>828</v>
      </c>
      <c r="E107" s="66" t="s">
        <v>1109</v>
      </c>
      <c r="F107" s="8" t="s">
        <v>1226</v>
      </c>
      <c r="G107" s="66" t="s">
        <v>829</v>
      </c>
      <c r="H107" s="66" t="s">
        <v>737</v>
      </c>
      <c r="I107" s="66"/>
      <c r="J107" s="8"/>
      <c r="K107" s="8"/>
    </row>
    <row r="108" customFormat="false" ht="34.5" hidden="false" customHeight="true" outlineLevel="0" collapsed="false">
      <c r="A108" s="66" t="n">
        <v>106</v>
      </c>
      <c r="B108" s="66" t="s">
        <v>835</v>
      </c>
      <c r="C108" s="66" t="s">
        <v>836</v>
      </c>
      <c r="D108" s="66" t="s">
        <v>837</v>
      </c>
      <c r="E108" s="66" t="s">
        <v>1109</v>
      </c>
      <c r="F108" s="8" t="s">
        <v>1227</v>
      </c>
      <c r="G108" s="66" t="s">
        <v>714</v>
      </c>
      <c r="H108" s="66" t="s">
        <v>839</v>
      </c>
      <c r="I108" s="66"/>
      <c r="J108" s="8"/>
      <c r="K108" s="8"/>
    </row>
  </sheetData>
  <mergeCells count="1">
    <mergeCell ref="A1:K1"/>
  </mergeCells>
  <conditionalFormatting sqref="I3:I108">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I3:I108"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3" min="2" style="1" width="14"/>
    <col collapsed="false" customWidth="true" hidden="false" outlineLevel="0" max="4" min="4" style="1" width="26"/>
    <col collapsed="false" customWidth="true" hidden="false" outlineLevel="0" max="5" min="5" style="1" width="14"/>
    <col collapsed="false" customWidth="true" hidden="false" outlineLevel="0" max="6" min="6" style="1" width="50"/>
    <col collapsed="false" customWidth="true" hidden="false" outlineLevel="0" max="7" min="7" style="1" width="10"/>
    <col collapsed="false" customWidth="true" hidden="false" outlineLevel="0" max="9" min="8" style="1" width="26"/>
  </cols>
  <sheetData>
    <row r="1" customFormat="false" ht="24" hidden="false" customHeight="true" outlineLevel="0" collapsed="false">
      <c r="A1" s="60" t="s">
        <v>1228</v>
      </c>
      <c r="B1" s="60"/>
      <c r="C1" s="60"/>
      <c r="D1" s="60"/>
      <c r="E1" s="60"/>
      <c r="F1" s="60"/>
      <c r="G1" s="60"/>
      <c r="H1" s="60"/>
      <c r="I1" s="60"/>
    </row>
    <row r="2" customFormat="false" ht="27.75" hidden="false" customHeight="true" outlineLevel="0" collapsed="false">
      <c r="A2" s="61" t="s">
        <v>88</v>
      </c>
      <c r="B2" s="61" t="s">
        <v>842</v>
      </c>
      <c r="C2" s="61" t="s">
        <v>1229</v>
      </c>
      <c r="D2" s="61" t="s">
        <v>844</v>
      </c>
      <c r="E2" s="61" t="s">
        <v>956</v>
      </c>
      <c r="F2" s="61" t="s">
        <v>957</v>
      </c>
      <c r="G2" s="61" t="s">
        <v>960</v>
      </c>
      <c r="H2" s="61" t="s">
        <v>961</v>
      </c>
      <c r="I2" s="61" t="s">
        <v>962</v>
      </c>
    </row>
    <row r="3" customFormat="false" ht="34.5" hidden="false" customHeight="true" outlineLevel="0" collapsed="false">
      <c r="A3" s="66" t="n">
        <v>1</v>
      </c>
      <c r="B3" s="66" t="s">
        <v>845</v>
      </c>
      <c r="C3" s="66" t="s">
        <v>557</v>
      </c>
      <c r="D3" s="66" t="s">
        <v>846</v>
      </c>
      <c r="E3" s="66" t="s">
        <v>963</v>
      </c>
      <c r="F3" s="8" t="s">
        <v>1230</v>
      </c>
      <c r="G3" s="66"/>
      <c r="H3" s="8"/>
      <c r="I3" s="8"/>
    </row>
    <row r="4" customFormat="false" ht="34.5" hidden="false" customHeight="true" outlineLevel="0" collapsed="false">
      <c r="A4" s="66" t="n">
        <v>2</v>
      </c>
      <c r="B4" s="66" t="s">
        <v>845</v>
      </c>
      <c r="C4" s="66" t="s">
        <v>557</v>
      </c>
      <c r="D4" s="66" t="s">
        <v>846</v>
      </c>
      <c r="E4" s="66" t="s">
        <v>474</v>
      </c>
      <c r="F4" s="8" t="s">
        <v>1231</v>
      </c>
      <c r="G4" s="66"/>
      <c r="H4" s="8"/>
      <c r="I4" s="8"/>
    </row>
    <row r="5" customFormat="false" ht="23.25" hidden="false" customHeight="true" outlineLevel="0" collapsed="false">
      <c r="A5" s="66" t="n">
        <v>3</v>
      </c>
      <c r="B5" s="66" t="s">
        <v>845</v>
      </c>
      <c r="C5" s="66" t="s">
        <v>557</v>
      </c>
      <c r="D5" s="66" t="s">
        <v>846</v>
      </c>
      <c r="E5" s="66" t="s">
        <v>1232</v>
      </c>
      <c r="F5" s="8" t="s">
        <v>1233</v>
      </c>
      <c r="G5" s="66"/>
      <c r="H5" s="8"/>
      <c r="I5" s="8"/>
    </row>
    <row r="6" customFormat="false" ht="23.25" hidden="false" customHeight="true" outlineLevel="0" collapsed="false">
      <c r="A6" s="66" t="n">
        <v>4</v>
      </c>
      <c r="B6" s="66" t="s">
        <v>845</v>
      </c>
      <c r="C6" s="66" t="s">
        <v>559</v>
      </c>
      <c r="D6" s="66" t="s">
        <v>848</v>
      </c>
      <c r="E6" s="66" t="s">
        <v>963</v>
      </c>
      <c r="F6" s="8" t="s">
        <v>1234</v>
      </c>
      <c r="G6" s="66"/>
      <c r="H6" s="8"/>
      <c r="I6" s="8"/>
    </row>
    <row r="7" customFormat="false" ht="34.5" hidden="false" customHeight="true" outlineLevel="0" collapsed="false">
      <c r="A7" s="66" t="n">
        <v>5</v>
      </c>
      <c r="B7" s="66" t="s">
        <v>845</v>
      </c>
      <c r="C7" s="66" t="s">
        <v>559</v>
      </c>
      <c r="D7" s="66" t="s">
        <v>848</v>
      </c>
      <c r="E7" s="66" t="s">
        <v>474</v>
      </c>
      <c r="F7" s="8" t="s">
        <v>1231</v>
      </c>
      <c r="G7" s="66"/>
      <c r="H7" s="8"/>
      <c r="I7" s="8"/>
    </row>
    <row r="8" customFormat="false" ht="23.25" hidden="false" customHeight="true" outlineLevel="0" collapsed="false">
      <c r="A8" s="66" t="n">
        <v>6</v>
      </c>
      <c r="B8" s="66" t="s">
        <v>845</v>
      </c>
      <c r="C8" s="66" t="s">
        <v>559</v>
      </c>
      <c r="D8" s="66" t="s">
        <v>848</v>
      </c>
      <c r="E8" s="66" t="s">
        <v>1232</v>
      </c>
      <c r="F8" s="8" t="s">
        <v>1233</v>
      </c>
      <c r="G8" s="66"/>
      <c r="H8" s="8"/>
      <c r="I8" s="8"/>
    </row>
    <row r="9" customFormat="false" ht="23.25" hidden="false" customHeight="true" outlineLevel="0" collapsed="false">
      <c r="A9" s="66" t="n">
        <v>7</v>
      </c>
      <c r="B9" s="66" t="s">
        <v>845</v>
      </c>
      <c r="C9" s="66" t="s">
        <v>563</v>
      </c>
      <c r="D9" s="66" t="s">
        <v>850</v>
      </c>
      <c r="E9" s="66" t="s">
        <v>963</v>
      </c>
      <c r="F9" s="8" t="s">
        <v>1235</v>
      </c>
      <c r="G9" s="66"/>
      <c r="H9" s="8"/>
      <c r="I9" s="8"/>
    </row>
    <row r="10" customFormat="false" ht="34.5" hidden="false" customHeight="true" outlineLevel="0" collapsed="false">
      <c r="A10" s="66" t="n">
        <v>8</v>
      </c>
      <c r="B10" s="66" t="s">
        <v>845</v>
      </c>
      <c r="C10" s="66" t="s">
        <v>563</v>
      </c>
      <c r="D10" s="66" t="s">
        <v>850</v>
      </c>
      <c r="E10" s="66" t="s">
        <v>474</v>
      </c>
      <c r="F10" s="8" t="s">
        <v>1231</v>
      </c>
      <c r="G10" s="66"/>
      <c r="H10" s="8"/>
      <c r="I10" s="8"/>
    </row>
    <row r="11" customFormat="false" ht="23.25" hidden="false" customHeight="true" outlineLevel="0" collapsed="false">
      <c r="A11" s="66" t="n">
        <v>9</v>
      </c>
      <c r="B11" s="66" t="s">
        <v>845</v>
      </c>
      <c r="C11" s="66" t="s">
        <v>563</v>
      </c>
      <c r="D11" s="66" t="s">
        <v>850</v>
      </c>
      <c r="E11" s="66" t="s">
        <v>1232</v>
      </c>
      <c r="F11" s="8" t="s">
        <v>1233</v>
      </c>
      <c r="G11" s="66"/>
      <c r="H11" s="8"/>
      <c r="I11" s="8"/>
    </row>
    <row r="12" customFormat="false" ht="23.25" hidden="false" customHeight="true" outlineLevel="0" collapsed="false">
      <c r="A12" s="66" t="n">
        <v>10</v>
      </c>
      <c r="B12" s="66" t="s">
        <v>845</v>
      </c>
      <c r="C12" s="66" t="s">
        <v>852</v>
      </c>
      <c r="D12" s="66" t="s">
        <v>853</v>
      </c>
      <c r="E12" s="66" t="s">
        <v>963</v>
      </c>
      <c r="F12" s="8" t="s">
        <v>1236</v>
      </c>
      <c r="G12" s="66"/>
      <c r="H12" s="8"/>
      <c r="I12" s="8"/>
    </row>
    <row r="13" customFormat="false" ht="34.5" hidden="false" customHeight="true" outlineLevel="0" collapsed="false">
      <c r="A13" s="66" t="n">
        <v>11</v>
      </c>
      <c r="B13" s="66" t="s">
        <v>845</v>
      </c>
      <c r="C13" s="66" t="s">
        <v>852</v>
      </c>
      <c r="D13" s="66" t="s">
        <v>853</v>
      </c>
      <c r="E13" s="66" t="s">
        <v>474</v>
      </c>
      <c r="F13" s="8" t="s">
        <v>1231</v>
      </c>
      <c r="G13" s="66"/>
      <c r="H13" s="8"/>
      <c r="I13" s="8"/>
    </row>
    <row r="14" customFormat="false" ht="23.25" hidden="false" customHeight="true" outlineLevel="0" collapsed="false">
      <c r="A14" s="66" t="n">
        <v>12</v>
      </c>
      <c r="B14" s="66" t="s">
        <v>845</v>
      </c>
      <c r="C14" s="66" t="s">
        <v>852</v>
      </c>
      <c r="D14" s="66" t="s">
        <v>853</v>
      </c>
      <c r="E14" s="66" t="s">
        <v>1232</v>
      </c>
      <c r="F14" s="8" t="s">
        <v>1233</v>
      </c>
      <c r="G14" s="66"/>
      <c r="H14" s="8"/>
      <c r="I14" s="8"/>
    </row>
    <row r="15" customFormat="false" ht="23.25" hidden="false" customHeight="true" outlineLevel="0" collapsed="false">
      <c r="A15" s="66" t="n">
        <v>13</v>
      </c>
      <c r="B15" s="66" t="s">
        <v>855</v>
      </c>
      <c r="C15" s="66" t="s">
        <v>566</v>
      </c>
      <c r="D15" s="66" t="s">
        <v>856</v>
      </c>
      <c r="E15" s="66" t="s">
        <v>963</v>
      </c>
      <c r="F15" s="8" t="s">
        <v>1237</v>
      </c>
      <c r="G15" s="66"/>
      <c r="H15" s="8"/>
      <c r="I15" s="8"/>
    </row>
    <row r="16" customFormat="false" ht="34.5" hidden="false" customHeight="true" outlineLevel="0" collapsed="false">
      <c r="A16" s="66" t="n">
        <v>14</v>
      </c>
      <c r="B16" s="66" t="s">
        <v>855</v>
      </c>
      <c r="C16" s="66" t="s">
        <v>566</v>
      </c>
      <c r="D16" s="66" t="s">
        <v>856</v>
      </c>
      <c r="E16" s="66" t="s">
        <v>474</v>
      </c>
      <c r="F16" s="8" t="s">
        <v>1231</v>
      </c>
      <c r="G16" s="66"/>
      <c r="H16" s="8"/>
      <c r="I16" s="8"/>
    </row>
    <row r="17" customFormat="false" ht="23.25" hidden="false" customHeight="true" outlineLevel="0" collapsed="false">
      <c r="A17" s="66" t="n">
        <v>15</v>
      </c>
      <c r="B17" s="66" t="s">
        <v>855</v>
      </c>
      <c r="C17" s="66" t="s">
        <v>566</v>
      </c>
      <c r="D17" s="66" t="s">
        <v>856</v>
      </c>
      <c r="E17" s="66" t="s">
        <v>1232</v>
      </c>
      <c r="F17" s="8" t="s">
        <v>1233</v>
      </c>
      <c r="G17" s="66"/>
      <c r="H17" s="8"/>
      <c r="I17" s="8"/>
    </row>
    <row r="18" customFormat="false" ht="23.25" hidden="false" customHeight="true" outlineLevel="0" collapsed="false">
      <c r="A18" s="66" t="n">
        <v>16</v>
      </c>
      <c r="B18" s="66" t="s">
        <v>855</v>
      </c>
      <c r="C18" s="66" t="s">
        <v>570</v>
      </c>
      <c r="D18" s="66" t="s">
        <v>858</v>
      </c>
      <c r="E18" s="66" t="s">
        <v>963</v>
      </c>
      <c r="F18" s="8" t="s">
        <v>1238</v>
      </c>
      <c r="G18" s="66"/>
      <c r="H18" s="8"/>
      <c r="I18" s="8"/>
    </row>
    <row r="19" customFormat="false" ht="34.5" hidden="false" customHeight="true" outlineLevel="0" collapsed="false">
      <c r="A19" s="66" t="n">
        <v>17</v>
      </c>
      <c r="B19" s="66" t="s">
        <v>855</v>
      </c>
      <c r="C19" s="66" t="s">
        <v>570</v>
      </c>
      <c r="D19" s="66" t="s">
        <v>858</v>
      </c>
      <c r="E19" s="66" t="s">
        <v>474</v>
      </c>
      <c r="F19" s="8" t="s">
        <v>1231</v>
      </c>
      <c r="G19" s="66"/>
      <c r="H19" s="8"/>
      <c r="I19" s="8"/>
    </row>
    <row r="20" customFormat="false" ht="23.25" hidden="false" customHeight="true" outlineLevel="0" collapsed="false">
      <c r="A20" s="66" t="n">
        <v>18</v>
      </c>
      <c r="B20" s="66" t="s">
        <v>855</v>
      </c>
      <c r="C20" s="66" t="s">
        <v>570</v>
      </c>
      <c r="D20" s="66" t="s">
        <v>858</v>
      </c>
      <c r="E20" s="66" t="s">
        <v>1232</v>
      </c>
      <c r="F20" s="8" t="s">
        <v>1233</v>
      </c>
      <c r="G20" s="66"/>
      <c r="H20" s="8"/>
      <c r="I20" s="8"/>
    </row>
    <row r="21" customFormat="false" ht="23.25" hidden="false" customHeight="true" outlineLevel="0" collapsed="false">
      <c r="A21" s="66" t="n">
        <v>19</v>
      </c>
      <c r="B21" s="66" t="s">
        <v>855</v>
      </c>
      <c r="C21" s="66" t="s">
        <v>860</v>
      </c>
      <c r="D21" s="66" t="s">
        <v>861</v>
      </c>
      <c r="E21" s="66" t="s">
        <v>963</v>
      </c>
      <c r="F21" s="8" t="s">
        <v>1239</v>
      </c>
      <c r="G21" s="66"/>
      <c r="H21" s="8"/>
      <c r="I21" s="8"/>
    </row>
    <row r="22" customFormat="false" ht="34.5" hidden="false" customHeight="true" outlineLevel="0" collapsed="false">
      <c r="A22" s="66" t="n">
        <v>20</v>
      </c>
      <c r="B22" s="66" t="s">
        <v>855</v>
      </c>
      <c r="C22" s="66" t="s">
        <v>860</v>
      </c>
      <c r="D22" s="66" t="s">
        <v>861</v>
      </c>
      <c r="E22" s="66" t="s">
        <v>474</v>
      </c>
      <c r="F22" s="8" t="s">
        <v>1231</v>
      </c>
      <c r="G22" s="66"/>
      <c r="H22" s="8"/>
      <c r="I22" s="8"/>
    </row>
    <row r="23" customFormat="false" ht="23.25" hidden="false" customHeight="true" outlineLevel="0" collapsed="false">
      <c r="A23" s="66" t="n">
        <v>21</v>
      </c>
      <c r="B23" s="66" t="s">
        <v>855</v>
      </c>
      <c r="C23" s="66" t="s">
        <v>860</v>
      </c>
      <c r="D23" s="66" t="s">
        <v>861</v>
      </c>
      <c r="E23" s="66" t="s">
        <v>1232</v>
      </c>
      <c r="F23" s="8" t="s">
        <v>1233</v>
      </c>
      <c r="G23" s="66"/>
      <c r="H23" s="8"/>
      <c r="I23" s="8"/>
    </row>
    <row r="24" customFormat="false" ht="34.5" hidden="false" customHeight="true" outlineLevel="0" collapsed="false">
      <c r="A24" s="66" t="n">
        <v>22</v>
      </c>
      <c r="B24" s="66" t="s">
        <v>863</v>
      </c>
      <c r="C24" s="66" t="s">
        <v>574</v>
      </c>
      <c r="D24" s="66" t="s">
        <v>864</v>
      </c>
      <c r="E24" s="66" t="s">
        <v>963</v>
      </c>
      <c r="F24" s="8" t="s">
        <v>1240</v>
      </c>
      <c r="G24" s="66"/>
      <c r="H24" s="8"/>
      <c r="I24" s="8"/>
    </row>
    <row r="25" customFormat="false" ht="34.5" hidden="false" customHeight="true" outlineLevel="0" collapsed="false">
      <c r="A25" s="66" t="n">
        <v>23</v>
      </c>
      <c r="B25" s="66" t="s">
        <v>863</v>
      </c>
      <c r="C25" s="66" t="s">
        <v>574</v>
      </c>
      <c r="D25" s="66" t="s">
        <v>864</v>
      </c>
      <c r="E25" s="66" t="s">
        <v>474</v>
      </c>
      <c r="F25" s="8" t="s">
        <v>1231</v>
      </c>
      <c r="G25" s="66"/>
      <c r="H25" s="8"/>
      <c r="I25" s="8"/>
    </row>
    <row r="26" customFormat="false" ht="23.25" hidden="false" customHeight="true" outlineLevel="0" collapsed="false">
      <c r="A26" s="66" t="n">
        <v>24</v>
      </c>
      <c r="B26" s="66" t="s">
        <v>863</v>
      </c>
      <c r="C26" s="66" t="s">
        <v>574</v>
      </c>
      <c r="D26" s="66" t="s">
        <v>864</v>
      </c>
      <c r="E26" s="66" t="s">
        <v>1232</v>
      </c>
      <c r="F26" s="8" t="s">
        <v>1233</v>
      </c>
      <c r="G26" s="66"/>
      <c r="H26" s="8"/>
      <c r="I26" s="8"/>
    </row>
    <row r="27" customFormat="false" ht="23.25" hidden="false" customHeight="true" outlineLevel="0" collapsed="false">
      <c r="A27" s="66" t="n">
        <v>25</v>
      </c>
      <c r="B27" s="66" t="s">
        <v>863</v>
      </c>
      <c r="C27" s="66" t="s">
        <v>578</v>
      </c>
      <c r="D27" s="66" t="s">
        <v>866</v>
      </c>
      <c r="E27" s="66" t="s">
        <v>963</v>
      </c>
      <c r="F27" s="8" t="s">
        <v>1241</v>
      </c>
      <c r="G27" s="66"/>
      <c r="H27" s="8"/>
      <c r="I27" s="8"/>
    </row>
    <row r="28" customFormat="false" ht="34.5" hidden="false" customHeight="true" outlineLevel="0" collapsed="false">
      <c r="A28" s="66" t="n">
        <v>26</v>
      </c>
      <c r="B28" s="66" t="s">
        <v>863</v>
      </c>
      <c r="C28" s="66" t="s">
        <v>578</v>
      </c>
      <c r="D28" s="66" t="s">
        <v>866</v>
      </c>
      <c r="E28" s="66" t="s">
        <v>474</v>
      </c>
      <c r="F28" s="8" t="s">
        <v>1231</v>
      </c>
      <c r="G28" s="66"/>
      <c r="H28" s="8"/>
      <c r="I28" s="8"/>
    </row>
    <row r="29" customFormat="false" ht="23.25" hidden="false" customHeight="true" outlineLevel="0" collapsed="false">
      <c r="A29" s="66" t="n">
        <v>27</v>
      </c>
      <c r="B29" s="66" t="s">
        <v>863</v>
      </c>
      <c r="C29" s="66" t="s">
        <v>578</v>
      </c>
      <c r="D29" s="66" t="s">
        <v>866</v>
      </c>
      <c r="E29" s="66" t="s">
        <v>1232</v>
      </c>
      <c r="F29" s="8" t="s">
        <v>1233</v>
      </c>
      <c r="G29" s="66"/>
      <c r="H29" s="8"/>
      <c r="I29" s="8"/>
    </row>
    <row r="30" customFormat="false" ht="23.25" hidden="false" customHeight="true" outlineLevel="0" collapsed="false">
      <c r="A30" s="66" t="n">
        <v>28</v>
      </c>
      <c r="B30" s="66" t="s">
        <v>863</v>
      </c>
      <c r="C30" s="66" t="s">
        <v>868</v>
      </c>
      <c r="D30" s="66" t="s">
        <v>869</v>
      </c>
      <c r="E30" s="66" t="s">
        <v>963</v>
      </c>
      <c r="F30" s="8" t="s">
        <v>1242</v>
      </c>
      <c r="G30" s="66"/>
      <c r="H30" s="8"/>
      <c r="I30" s="8"/>
    </row>
    <row r="31" customFormat="false" ht="34.5" hidden="false" customHeight="true" outlineLevel="0" collapsed="false">
      <c r="A31" s="66" t="n">
        <v>29</v>
      </c>
      <c r="B31" s="66" t="s">
        <v>863</v>
      </c>
      <c r="C31" s="66" t="s">
        <v>868</v>
      </c>
      <c r="D31" s="66" t="s">
        <v>869</v>
      </c>
      <c r="E31" s="66" t="s">
        <v>474</v>
      </c>
      <c r="F31" s="8" t="s">
        <v>1231</v>
      </c>
      <c r="G31" s="66"/>
      <c r="H31" s="8"/>
      <c r="I31" s="8"/>
    </row>
    <row r="32" customFormat="false" ht="23.25" hidden="false" customHeight="true" outlineLevel="0" collapsed="false">
      <c r="A32" s="66" t="n">
        <v>30</v>
      </c>
      <c r="B32" s="66" t="s">
        <v>863</v>
      </c>
      <c r="C32" s="66" t="s">
        <v>868</v>
      </c>
      <c r="D32" s="66" t="s">
        <v>869</v>
      </c>
      <c r="E32" s="66" t="s">
        <v>1232</v>
      </c>
      <c r="F32" s="8" t="s">
        <v>1233</v>
      </c>
      <c r="G32" s="66"/>
      <c r="H32" s="8"/>
      <c r="I32" s="8"/>
    </row>
    <row r="33" customFormat="false" ht="23.25" hidden="false" customHeight="true" outlineLevel="0" collapsed="false">
      <c r="A33" s="66" t="n">
        <v>31</v>
      </c>
      <c r="B33" s="66" t="s">
        <v>871</v>
      </c>
      <c r="C33" s="66" t="s">
        <v>872</v>
      </c>
      <c r="D33" s="66" t="s">
        <v>873</v>
      </c>
      <c r="E33" s="66" t="s">
        <v>963</v>
      </c>
      <c r="F33" s="8" t="s">
        <v>1243</v>
      </c>
      <c r="G33" s="66"/>
      <c r="H33" s="8"/>
      <c r="I33" s="8"/>
    </row>
    <row r="34" customFormat="false" ht="34.5" hidden="false" customHeight="true" outlineLevel="0" collapsed="false">
      <c r="A34" s="66" t="n">
        <v>32</v>
      </c>
      <c r="B34" s="66" t="s">
        <v>871</v>
      </c>
      <c r="C34" s="66" t="s">
        <v>872</v>
      </c>
      <c r="D34" s="66" t="s">
        <v>873</v>
      </c>
      <c r="E34" s="66" t="s">
        <v>474</v>
      </c>
      <c r="F34" s="8" t="s">
        <v>1231</v>
      </c>
      <c r="G34" s="66"/>
      <c r="H34" s="8"/>
      <c r="I34" s="8"/>
    </row>
    <row r="35" customFormat="false" ht="23.25" hidden="false" customHeight="true" outlineLevel="0" collapsed="false">
      <c r="A35" s="66" t="n">
        <v>33</v>
      </c>
      <c r="B35" s="66" t="s">
        <v>871</v>
      </c>
      <c r="C35" s="66" t="s">
        <v>872</v>
      </c>
      <c r="D35" s="66" t="s">
        <v>873</v>
      </c>
      <c r="E35" s="66" t="s">
        <v>1232</v>
      </c>
      <c r="F35" s="8" t="s">
        <v>1233</v>
      </c>
      <c r="G35" s="66"/>
      <c r="H35" s="8"/>
      <c r="I35" s="8"/>
    </row>
    <row r="36" customFormat="false" ht="23.25" hidden="false" customHeight="true" outlineLevel="0" collapsed="false">
      <c r="A36" s="66" t="n">
        <v>34</v>
      </c>
      <c r="B36" s="66" t="s">
        <v>871</v>
      </c>
      <c r="C36" s="66" t="s">
        <v>875</v>
      </c>
      <c r="D36" s="66" t="s">
        <v>876</v>
      </c>
      <c r="E36" s="66" t="s">
        <v>963</v>
      </c>
      <c r="F36" s="8" t="s">
        <v>1244</v>
      </c>
      <c r="G36" s="66"/>
      <c r="H36" s="8"/>
      <c r="I36" s="8"/>
    </row>
    <row r="37" customFormat="false" ht="34.5" hidden="false" customHeight="true" outlineLevel="0" collapsed="false">
      <c r="A37" s="66" t="n">
        <v>35</v>
      </c>
      <c r="B37" s="66" t="s">
        <v>871</v>
      </c>
      <c r="C37" s="66" t="s">
        <v>875</v>
      </c>
      <c r="D37" s="66" t="s">
        <v>876</v>
      </c>
      <c r="E37" s="66" t="s">
        <v>474</v>
      </c>
      <c r="F37" s="8" t="s">
        <v>1231</v>
      </c>
      <c r="G37" s="66"/>
      <c r="H37" s="8"/>
      <c r="I37" s="8"/>
    </row>
    <row r="38" customFormat="false" ht="23.25" hidden="false" customHeight="true" outlineLevel="0" collapsed="false">
      <c r="A38" s="66" t="n">
        <v>36</v>
      </c>
      <c r="B38" s="66" t="s">
        <v>871</v>
      </c>
      <c r="C38" s="66" t="s">
        <v>875</v>
      </c>
      <c r="D38" s="66" t="s">
        <v>876</v>
      </c>
      <c r="E38" s="66" t="s">
        <v>1232</v>
      </c>
      <c r="F38" s="8" t="s">
        <v>1233</v>
      </c>
      <c r="G38" s="66"/>
      <c r="H38" s="8"/>
      <c r="I38" s="8"/>
    </row>
    <row r="39" customFormat="false" ht="23.25" hidden="false" customHeight="true" outlineLevel="0" collapsed="false">
      <c r="A39" s="66" t="n">
        <v>37</v>
      </c>
      <c r="B39" s="66" t="s">
        <v>871</v>
      </c>
      <c r="C39" s="66" t="s">
        <v>878</v>
      </c>
      <c r="D39" s="66" t="s">
        <v>879</v>
      </c>
      <c r="E39" s="66" t="s">
        <v>963</v>
      </c>
      <c r="F39" s="8" t="s">
        <v>1245</v>
      </c>
      <c r="G39" s="66"/>
      <c r="H39" s="8"/>
      <c r="I39" s="8"/>
    </row>
    <row r="40" customFormat="false" ht="34.5" hidden="false" customHeight="true" outlineLevel="0" collapsed="false">
      <c r="A40" s="66" t="n">
        <v>38</v>
      </c>
      <c r="B40" s="66" t="s">
        <v>871</v>
      </c>
      <c r="C40" s="66" t="s">
        <v>878</v>
      </c>
      <c r="D40" s="66" t="s">
        <v>879</v>
      </c>
      <c r="E40" s="66" t="s">
        <v>474</v>
      </c>
      <c r="F40" s="8" t="s">
        <v>1231</v>
      </c>
      <c r="G40" s="66"/>
      <c r="H40" s="8"/>
      <c r="I40" s="8"/>
    </row>
    <row r="41" customFormat="false" ht="23.25" hidden="false" customHeight="true" outlineLevel="0" collapsed="false">
      <c r="A41" s="66" t="n">
        <v>39</v>
      </c>
      <c r="B41" s="66" t="s">
        <v>871</v>
      </c>
      <c r="C41" s="66" t="s">
        <v>878</v>
      </c>
      <c r="D41" s="66" t="s">
        <v>879</v>
      </c>
      <c r="E41" s="66" t="s">
        <v>1232</v>
      </c>
      <c r="F41" s="8" t="s">
        <v>1233</v>
      </c>
      <c r="G41" s="66"/>
      <c r="H41" s="8"/>
      <c r="I41" s="8"/>
    </row>
    <row r="42" customFormat="false" ht="23.25" hidden="false" customHeight="true" outlineLevel="0" collapsed="false">
      <c r="A42" s="66" t="n">
        <v>40</v>
      </c>
      <c r="B42" s="66" t="s">
        <v>871</v>
      </c>
      <c r="C42" s="66" t="s">
        <v>881</v>
      </c>
      <c r="D42" s="66" t="s">
        <v>882</v>
      </c>
      <c r="E42" s="66" t="s">
        <v>963</v>
      </c>
      <c r="F42" s="8" t="s">
        <v>1246</v>
      </c>
      <c r="G42" s="66"/>
      <c r="H42" s="8"/>
      <c r="I42" s="8"/>
    </row>
    <row r="43" customFormat="false" ht="34.5" hidden="false" customHeight="true" outlineLevel="0" collapsed="false">
      <c r="A43" s="66" t="n">
        <v>41</v>
      </c>
      <c r="B43" s="66" t="s">
        <v>871</v>
      </c>
      <c r="C43" s="66" t="s">
        <v>881</v>
      </c>
      <c r="D43" s="66" t="s">
        <v>882</v>
      </c>
      <c r="E43" s="66" t="s">
        <v>474</v>
      </c>
      <c r="F43" s="8" t="s">
        <v>1231</v>
      </c>
      <c r="G43" s="66"/>
      <c r="H43" s="8"/>
      <c r="I43" s="8"/>
    </row>
    <row r="44" customFormat="false" ht="23.25" hidden="false" customHeight="true" outlineLevel="0" collapsed="false">
      <c r="A44" s="66" t="n">
        <v>42</v>
      </c>
      <c r="B44" s="66" t="s">
        <v>871</v>
      </c>
      <c r="C44" s="66" t="s">
        <v>881</v>
      </c>
      <c r="D44" s="66" t="s">
        <v>882</v>
      </c>
      <c r="E44" s="66" t="s">
        <v>1232</v>
      </c>
      <c r="F44" s="8" t="s">
        <v>1233</v>
      </c>
      <c r="G44" s="66"/>
      <c r="H44" s="8"/>
      <c r="I44" s="8"/>
    </row>
    <row r="45" customFormat="false" ht="23.25" hidden="false" customHeight="true" outlineLevel="0" collapsed="false">
      <c r="A45" s="66" t="n">
        <v>43</v>
      </c>
      <c r="B45" s="66" t="s">
        <v>871</v>
      </c>
      <c r="C45" s="66" t="s">
        <v>884</v>
      </c>
      <c r="D45" s="66" t="s">
        <v>885</v>
      </c>
      <c r="E45" s="66" t="s">
        <v>963</v>
      </c>
      <c r="F45" s="8" t="s">
        <v>1247</v>
      </c>
      <c r="G45" s="66"/>
      <c r="H45" s="8"/>
      <c r="I45" s="8"/>
    </row>
    <row r="46" customFormat="false" ht="34.5" hidden="false" customHeight="true" outlineLevel="0" collapsed="false">
      <c r="A46" s="66" t="n">
        <v>44</v>
      </c>
      <c r="B46" s="66" t="s">
        <v>871</v>
      </c>
      <c r="C46" s="66" t="s">
        <v>884</v>
      </c>
      <c r="D46" s="66" t="s">
        <v>885</v>
      </c>
      <c r="E46" s="66" t="s">
        <v>474</v>
      </c>
      <c r="F46" s="8" t="s">
        <v>1231</v>
      </c>
      <c r="G46" s="66"/>
      <c r="H46" s="8"/>
      <c r="I46" s="8"/>
    </row>
    <row r="47" customFormat="false" ht="23.25" hidden="false" customHeight="true" outlineLevel="0" collapsed="false">
      <c r="A47" s="66" t="n">
        <v>45</v>
      </c>
      <c r="B47" s="66" t="s">
        <v>871</v>
      </c>
      <c r="C47" s="66" t="s">
        <v>884</v>
      </c>
      <c r="D47" s="66" t="s">
        <v>885</v>
      </c>
      <c r="E47" s="66" t="s">
        <v>1232</v>
      </c>
      <c r="F47" s="8" t="s">
        <v>1233</v>
      </c>
      <c r="G47" s="66"/>
      <c r="H47" s="8"/>
      <c r="I47" s="8"/>
    </row>
    <row r="48" customFormat="false" ht="23.25" hidden="false" customHeight="true" outlineLevel="0" collapsed="false">
      <c r="A48" s="66" t="n">
        <v>46</v>
      </c>
      <c r="B48" s="66" t="s">
        <v>887</v>
      </c>
      <c r="C48" s="66" t="s">
        <v>888</v>
      </c>
      <c r="D48" s="66" t="s">
        <v>889</v>
      </c>
      <c r="E48" s="66" t="s">
        <v>963</v>
      </c>
      <c r="F48" s="8" t="s">
        <v>1248</v>
      </c>
      <c r="G48" s="66"/>
      <c r="H48" s="8"/>
      <c r="I48" s="8"/>
    </row>
    <row r="49" customFormat="false" ht="34.5" hidden="false" customHeight="true" outlineLevel="0" collapsed="false">
      <c r="A49" s="66" t="n">
        <v>47</v>
      </c>
      <c r="B49" s="66" t="s">
        <v>887</v>
      </c>
      <c r="C49" s="66" t="s">
        <v>888</v>
      </c>
      <c r="D49" s="66" t="s">
        <v>889</v>
      </c>
      <c r="E49" s="66" t="s">
        <v>474</v>
      </c>
      <c r="F49" s="8" t="s">
        <v>1231</v>
      </c>
      <c r="G49" s="66"/>
      <c r="H49" s="8"/>
      <c r="I49" s="8"/>
    </row>
    <row r="50" customFormat="false" ht="23.25" hidden="false" customHeight="true" outlineLevel="0" collapsed="false">
      <c r="A50" s="66" t="n">
        <v>48</v>
      </c>
      <c r="B50" s="66" t="s">
        <v>887</v>
      </c>
      <c r="C50" s="66" t="s">
        <v>888</v>
      </c>
      <c r="D50" s="66" t="s">
        <v>889</v>
      </c>
      <c r="E50" s="66" t="s">
        <v>1232</v>
      </c>
      <c r="F50" s="8" t="s">
        <v>1233</v>
      </c>
      <c r="G50" s="66"/>
      <c r="H50" s="8"/>
      <c r="I50" s="8"/>
    </row>
    <row r="51" customFormat="false" ht="34.5" hidden="false" customHeight="true" outlineLevel="0" collapsed="false">
      <c r="A51" s="66" t="n">
        <v>49</v>
      </c>
      <c r="B51" s="66" t="s">
        <v>887</v>
      </c>
      <c r="C51" s="66" t="s">
        <v>891</v>
      </c>
      <c r="D51" s="66" t="s">
        <v>892</v>
      </c>
      <c r="E51" s="66" t="s">
        <v>963</v>
      </c>
      <c r="F51" s="8" t="s">
        <v>1249</v>
      </c>
      <c r="G51" s="66"/>
      <c r="H51" s="8"/>
      <c r="I51" s="8"/>
    </row>
    <row r="52" customFormat="false" ht="34.5" hidden="false" customHeight="true" outlineLevel="0" collapsed="false">
      <c r="A52" s="66" t="n">
        <v>50</v>
      </c>
      <c r="B52" s="66" t="s">
        <v>887</v>
      </c>
      <c r="C52" s="66" t="s">
        <v>891</v>
      </c>
      <c r="D52" s="66" t="s">
        <v>892</v>
      </c>
      <c r="E52" s="66" t="s">
        <v>474</v>
      </c>
      <c r="F52" s="8" t="s">
        <v>1231</v>
      </c>
      <c r="G52" s="66"/>
      <c r="H52" s="8"/>
      <c r="I52" s="8"/>
    </row>
    <row r="53" customFormat="false" ht="23.25" hidden="false" customHeight="true" outlineLevel="0" collapsed="false">
      <c r="A53" s="66" t="n">
        <v>51</v>
      </c>
      <c r="B53" s="66" t="s">
        <v>887</v>
      </c>
      <c r="C53" s="66" t="s">
        <v>891</v>
      </c>
      <c r="D53" s="66" t="s">
        <v>892</v>
      </c>
      <c r="E53" s="66" t="s">
        <v>1232</v>
      </c>
      <c r="F53" s="8" t="s">
        <v>1233</v>
      </c>
      <c r="G53" s="66"/>
      <c r="H53" s="8"/>
      <c r="I53" s="8"/>
    </row>
    <row r="54" customFormat="false" ht="23.25" hidden="false" customHeight="true" outlineLevel="0" collapsed="false">
      <c r="A54" s="66" t="n">
        <v>52</v>
      </c>
      <c r="B54" s="66" t="s">
        <v>887</v>
      </c>
      <c r="C54" s="66" t="s">
        <v>894</v>
      </c>
      <c r="D54" s="66" t="s">
        <v>895</v>
      </c>
      <c r="E54" s="66" t="s">
        <v>963</v>
      </c>
      <c r="F54" s="8" t="s">
        <v>1250</v>
      </c>
      <c r="G54" s="66"/>
      <c r="H54" s="8"/>
      <c r="I54" s="8"/>
    </row>
    <row r="55" customFormat="false" ht="34.5" hidden="false" customHeight="true" outlineLevel="0" collapsed="false">
      <c r="A55" s="66" t="n">
        <v>53</v>
      </c>
      <c r="B55" s="66" t="s">
        <v>887</v>
      </c>
      <c r="C55" s="66" t="s">
        <v>894</v>
      </c>
      <c r="D55" s="66" t="s">
        <v>895</v>
      </c>
      <c r="E55" s="66" t="s">
        <v>474</v>
      </c>
      <c r="F55" s="8" t="s">
        <v>1231</v>
      </c>
      <c r="G55" s="66"/>
      <c r="H55" s="8"/>
      <c r="I55" s="8"/>
    </row>
    <row r="56" customFormat="false" ht="23.25" hidden="false" customHeight="true" outlineLevel="0" collapsed="false">
      <c r="A56" s="66" t="n">
        <v>54</v>
      </c>
      <c r="B56" s="66" t="s">
        <v>887</v>
      </c>
      <c r="C56" s="66" t="s">
        <v>894</v>
      </c>
      <c r="D56" s="66" t="s">
        <v>895</v>
      </c>
      <c r="E56" s="66" t="s">
        <v>1232</v>
      </c>
      <c r="F56" s="8" t="s">
        <v>1233</v>
      </c>
      <c r="G56" s="66"/>
      <c r="H56" s="8"/>
      <c r="I56" s="8"/>
    </row>
    <row r="57" customFormat="false" ht="34.5" hidden="false" customHeight="true" outlineLevel="0" collapsed="false">
      <c r="A57" s="66" t="n">
        <v>55</v>
      </c>
      <c r="B57" s="66" t="s">
        <v>887</v>
      </c>
      <c r="C57" s="66" t="s">
        <v>897</v>
      </c>
      <c r="D57" s="66" t="s">
        <v>898</v>
      </c>
      <c r="E57" s="66" t="s">
        <v>963</v>
      </c>
      <c r="F57" s="8" t="s">
        <v>1251</v>
      </c>
      <c r="G57" s="66"/>
      <c r="H57" s="8"/>
      <c r="I57" s="8"/>
    </row>
    <row r="58" customFormat="false" ht="34.5" hidden="false" customHeight="true" outlineLevel="0" collapsed="false">
      <c r="A58" s="66" t="n">
        <v>56</v>
      </c>
      <c r="B58" s="66" t="s">
        <v>887</v>
      </c>
      <c r="C58" s="66" t="s">
        <v>897</v>
      </c>
      <c r="D58" s="66" t="s">
        <v>898</v>
      </c>
      <c r="E58" s="66" t="s">
        <v>474</v>
      </c>
      <c r="F58" s="8" t="s">
        <v>1231</v>
      </c>
      <c r="G58" s="66"/>
      <c r="H58" s="8"/>
      <c r="I58" s="8"/>
    </row>
    <row r="59" customFormat="false" ht="23.25" hidden="false" customHeight="true" outlineLevel="0" collapsed="false">
      <c r="A59" s="66" t="n">
        <v>57</v>
      </c>
      <c r="B59" s="66" t="s">
        <v>887</v>
      </c>
      <c r="C59" s="66" t="s">
        <v>897</v>
      </c>
      <c r="D59" s="66" t="s">
        <v>898</v>
      </c>
      <c r="E59" s="66" t="s">
        <v>1232</v>
      </c>
      <c r="F59" s="8" t="s">
        <v>1233</v>
      </c>
      <c r="G59" s="66"/>
      <c r="H59" s="8"/>
      <c r="I59" s="8"/>
    </row>
    <row r="60" customFormat="false" ht="23.25" hidden="false" customHeight="true" outlineLevel="0" collapsed="false">
      <c r="A60" s="66" t="n">
        <v>58</v>
      </c>
      <c r="B60" s="66" t="s">
        <v>900</v>
      </c>
      <c r="C60" s="66" t="s">
        <v>901</v>
      </c>
      <c r="D60" s="66" t="s">
        <v>902</v>
      </c>
      <c r="E60" s="66" t="s">
        <v>963</v>
      </c>
      <c r="F60" s="8" t="s">
        <v>1252</v>
      </c>
      <c r="G60" s="66"/>
      <c r="H60" s="8"/>
      <c r="I60" s="8"/>
    </row>
    <row r="61" customFormat="false" ht="34.5" hidden="false" customHeight="true" outlineLevel="0" collapsed="false">
      <c r="A61" s="66" t="n">
        <v>59</v>
      </c>
      <c r="B61" s="66" t="s">
        <v>900</v>
      </c>
      <c r="C61" s="66" t="s">
        <v>901</v>
      </c>
      <c r="D61" s="66" t="s">
        <v>902</v>
      </c>
      <c r="E61" s="66" t="s">
        <v>474</v>
      </c>
      <c r="F61" s="8" t="s">
        <v>1231</v>
      </c>
      <c r="G61" s="66"/>
      <c r="H61" s="8"/>
      <c r="I61" s="8"/>
    </row>
    <row r="62" customFormat="false" ht="23.25" hidden="false" customHeight="true" outlineLevel="0" collapsed="false">
      <c r="A62" s="66" t="n">
        <v>60</v>
      </c>
      <c r="B62" s="66" t="s">
        <v>900</v>
      </c>
      <c r="C62" s="66" t="s">
        <v>901</v>
      </c>
      <c r="D62" s="66" t="s">
        <v>902</v>
      </c>
      <c r="E62" s="66" t="s">
        <v>1232</v>
      </c>
      <c r="F62" s="8" t="s">
        <v>1233</v>
      </c>
      <c r="G62" s="66"/>
      <c r="H62" s="8"/>
      <c r="I62" s="8"/>
    </row>
    <row r="63" customFormat="false" ht="23.25" hidden="false" customHeight="true" outlineLevel="0" collapsed="false">
      <c r="A63" s="66" t="n">
        <v>61</v>
      </c>
      <c r="B63" s="66" t="s">
        <v>900</v>
      </c>
      <c r="C63" s="66" t="s">
        <v>904</v>
      </c>
      <c r="D63" s="66" t="s">
        <v>905</v>
      </c>
      <c r="E63" s="66" t="s">
        <v>963</v>
      </c>
      <c r="F63" s="8" t="s">
        <v>1253</v>
      </c>
      <c r="G63" s="66"/>
      <c r="H63" s="8"/>
      <c r="I63" s="8"/>
    </row>
    <row r="64" customFormat="false" ht="34.5" hidden="false" customHeight="true" outlineLevel="0" collapsed="false">
      <c r="A64" s="66" t="n">
        <v>62</v>
      </c>
      <c r="B64" s="66" t="s">
        <v>900</v>
      </c>
      <c r="C64" s="66" t="s">
        <v>904</v>
      </c>
      <c r="D64" s="66" t="s">
        <v>905</v>
      </c>
      <c r="E64" s="66" t="s">
        <v>474</v>
      </c>
      <c r="F64" s="8" t="s">
        <v>1231</v>
      </c>
      <c r="G64" s="66"/>
      <c r="H64" s="8"/>
      <c r="I64" s="8"/>
    </row>
    <row r="65" customFormat="false" ht="23.25" hidden="false" customHeight="true" outlineLevel="0" collapsed="false">
      <c r="A65" s="66" t="n">
        <v>63</v>
      </c>
      <c r="B65" s="66" t="s">
        <v>900</v>
      </c>
      <c r="C65" s="66" t="s">
        <v>904</v>
      </c>
      <c r="D65" s="66" t="s">
        <v>905</v>
      </c>
      <c r="E65" s="66" t="s">
        <v>1232</v>
      </c>
      <c r="F65" s="8" t="s">
        <v>1233</v>
      </c>
      <c r="G65" s="66"/>
      <c r="H65" s="8"/>
      <c r="I65" s="8"/>
    </row>
    <row r="66" customFormat="false" ht="23.25" hidden="false" customHeight="true" outlineLevel="0" collapsed="false">
      <c r="A66" s="66" t="n">
        <v>64</v>
      </c>
      <c r="B66" s="66" t="s">
        <v>900</v>
      </c>
      <c r="C66" s="66" t="s">
        <v>907</v>
      </c>
      <c r="D66" s="66" t="s">
        <v>908</v>
      </c>
      <c r="E66" s="66" t="s">
        <v>963</v>
      </c>
      <c r="F66" s="8" t="s">
        <v>1254</v>
      </c>
      <c r="G66" s="66"/>
      <c r="H66" s="8"/>
      <c r="I66" s="8"/>
    </row>
    <row r="67" customFormat="false" ht="34.5" hidden="false" customHeight="true" outlineLevel="0" collapsed="false">
      <c r="A67" s="66" t="n">
        <v>65</v>
      </c>
      <c r="B67" s="66" t="s">
        <v>900</v>
      </c>
      <c r="C67" s="66" t="s">
        <v>907</v>
      </c>
      <c r="D67" s="66" t="s">
        <v>908</v>
      </c>
      <c r="E67" s="66" t="s">
        <v>474</v>
      </c>
      <c r="F67" s="8" t="s">
        <v>1231</v>
      </c>
      <c r="G67" s="66"/>
      <c r="H67" s="8"/>
      <c r="I67" s="8"/>
    </row>
    <row r="68" customFormat="false" ht="23.25" hidden="false" customHeight="true" outlineLevel="0" collapsed="false">
      <c r="A68" s="66" t="n">
        <v>66</v>
      </c>
      <c r="B68" s="66" t="s">
        <v>900</v>
      </c>
      <c r="C68" s="66" t="s">
        <v>907</v>
      </c>
      <c r="D68" s="66" t="s">
        <v>908</v>
      </c>
      <c r="E68" s="66" t="s">
        <v>1232</v>
      </c>
      <c r="F68" s="8" t="s">
        <v>1233</v>
      </c>
      <c r="G68" s="66"/>
      <c r="H68" s="8"/>
      <c r="I68" s="8"/>
    </row>
    <row r="69" customFormat="false" ht="23.25" hidden="false" customHeight="true" outlineLevel="0" collapsed="false">
      <c r="A69" s="66" t="n">
        <v>67</v>
      </c>
      <c r="B69" s="66" t="s">
        <v>910</v>
      </c>
      <c r="C69" s="66" t="s">
        <v>911</v>
      </c>
      <c r="D69" s="66" t="s">
        <v>912</v>
      </c>
      <c r="E69" s="66" t="s">
        <v>963</v>
      </c>
      <c r="F69" s="8" t="s">
        <v>1255</v>
      </c>
      <c r="G69" s="66"/>
      <c r="H69" s="8"/>
      <c r="I69" s="8"/>
    </row>
    <row r="70" customFormat="false" ht="34.5" hidden="false" customHeight="true" outlineLevel="0" collapsed="false">
      <c r="A70" s="66" t="n">
        <v>68</v>
      </c>
      <c r="B70" s="66" t="s">
        <v>910</v>
      </c>
      <c r="C70" s="66" t="s">
        <v>911</v>
      </c>
      <c r="D70" s="66" t="s">
        <v>912</v>
      </c>
      <c r="E70" s="66" t="s">
        <v>474</v>
      </c>
      <c r="F70" s="8" t="s">
        <v>1231</v>
      </c>
      <c r="G70" s="66"/>
      <c r="H70" s="8"/>
      <c r="I70" s="8"/>
    </row>
    <row r="71" customFormat="false" ht="23.25" hidden="false" customHeight="true" outlineLevel="0" collapsed="false">
      <c r="A71" s="66" t="n">
        <v>69</v>
      </c>
      <c r="B71" s="66" t="s">
        <v>910</v>
      </c>
      <c r="C71" s="66" t="s">
        <v>911</v>
      </c>
      <c r="D71" s="66" t="s">
        <v>912</v>
      </c>
      <c r="E71" s="66" t="s">
        <v>1232</v>
      </c>
      <c r="F71" s="8" t="s">
        <v>1233</v>
      </c>
      <c r="G71" s="66"/>
      <c r="H71" s="8"/>
      <c r="I71" s="8"/>
    </row>
    <row r="72" customFormat="false" ht="23.25" hidden="false" customHeight="true" outlineLevel="0" collapsed="false">
      <c r="A72" s="66" t="n">
        <v>70</v>
      </c>
      <c r="B72" s="66" t="s">
        <v>910</v>
      </c>
      <c r="C72" s="66" t="s">
        <v>914</v>
      </c>
      <c r="D72" s="66" t="s">
        <v>915</v>
      </c>
      <c r="E72" s="66" t="s">
        <v>963</v>
      </c>
      <c r="F72" s="8" t="s">
        <v>1256</v>
      </c>
      <c r="G72" s="66"/>
      <c r="H72" s="8"/>
      <c r="I72" s="8"/>
    </row>
    <row r="73" customFormat="false" ht="34.5" hidden="false" customHeight="true" outlineLevel="0" collapsed="false">
      <c r="A73" s="66" t="n">
        <v>71</v>
      </c>
      <c r="B73" s="66" t="s">
        <v>910</v>
      </c>
      <c r="C73" s="66" t="s">
        <v>914</v>
      </c>
      <c r="D73" s="66" t="s">
        <v>915</v>
      </c>
      <c r="E73" s="66" t="s">
        <v>474</v>
      </c>
      <c r="F73" s="8" t="s">
        <v>1231</v>
      </c>
      <c r="G73" s="66"/>
      <c r="H73" s="8"/>
      <c r="I73" s="8"/>
    </row>
    <row r="74" customFormat="false" ht="23.25" hidden="false" customHeight="true" outlineLevel="0" collapsed="false">
      <c r="A74" s="66" t="n">
        <v>72</v>
      </c>
      <c r="B74" s="66" t="s">
        <v>910</v>
      </c>
      <c r="C74" s="66" t="s">
        <v>914</v>
      </c>
      <c r="D74" s="66" t="s">
        <v>915</v>
      </c>
      <c r="E74" s="66" t="s">
        <v>1232</v>
      </c>
      <c r="F74" s="8" t="s">
        <v>1233</v>
      </c>
      <c r="G74" s="66"/>
      <c r="H74" s="8"/>
      <c r="I74" s="8"/>
    </row>
    <row r="75" customFormat="false" ht="34.5" hidden="false" customHeight="true" outlineLevel="0" collapsed="false">
      <c r="A75" s="66" t="n">
        <v>73</v>
      </c>
      <c r="B75" s="66" t="s">
        <v>917</v>
      </c>
      <c r="C75" s="66" t="s">
        <v>918</v>
      </c>
      <c r="D75" s="66" t="s">
        <v>919</v>
      </c>
      <c r="E75" s="66" t="s">
        <v>963</v>
      </c>
      <c r="F75" s="8" t="s">
        <v>1257</v>
      </c>
      <c r="G75" s="66"/>
      <c r="H75" s="8"/>
      <c r="I75" s="8"/>
    </row>
    <row r="76" customFormat="false" ht="34.5" hidden="false" customHeight="true" outlineLevel="0" collapsed="false">
      <c r="A76" s="66" t="n">
        <v>74</v>
      </c>
      <c r="B76" s="66" t="s">
        <v>917</v>
      </c>
      <c r="C76" s="66" t="s">
        <v>918</v>
      </c>
      <c r="D76" s="66" t="s">
        <v>919</v>
      </c>
      <c r="E76" s="66" t="s">
        <v>474</v>
      </c>
      <c r="F76" s="8" t="s">
        <v>1231</v>
      </c>
      <c r="G76" s="66"/>
      <c r="H76" s="8"/>
      <c r="I76" s="8"/>
    </row>
    <row r="77" customFormat="false" ht="23.25" hidden="false" customHeight="true" outlineLevel="0" collapsed="false">
      <c r="A77" s="66" t="n">
        <v>75</v>
      </c>
      <c r="B77" s="66" t="s">
        <v>917</v>
      </c>
      <c r="C77" s="66" t="s">
        <v>918</v>
      </c>
      <c r="D77" s="66" t="s">
        <v>919</v>
      </c>
      <c r="E77" s="66" t="s">
        <v>1232</v>
      </c>
      <c r="F77" s="8" t="s">
        <v>1233</v>
      </c>
      <c r="G77" s="66"/>
      <c r="H77" s="8"/>
      <c r="I77" s="8"/>
    </row>
    <row r="78" customFormat="false" ht="23.25" hidden="false" customHeight="true" outlineLevel="0" collapsed="false">
      <c r="A78" s="66" t="n">
        <v>76</v>
      </c>
      <c r="B78" s="66" t="s">
        <v>921</v>
      </c>
      <c r="C78" s="66" t="s">
        <v>922</v>
      </c>
      <c r="D78" s="66" t="s">
        <v>923</v>
      </c>
      <c r="E78" s="66" t="s">
        <v>963</v>
      </c>
      <c r="F78" s="8" t="s">
        <v>1258</v>
      </c>
      <c r="G78" s="66"/>
      <c r="H78" s="8"/>
      <c r="I78" s="8"/>
    </row>
    <row r="79" customFormat="false" ht="34.5" hidden="false" customHeight="true" outlineLevel="0" collapsed="false">
      <c r="A79" s="66" t="n">
        <v>77</v>
      </c>
      <c r="B79" s="66" t="s">
        <v>921</v>
      </c>
      <c r="C79" s="66" t="s">
        <v>922</v>
      </c>
      <c r="D79" s="66" t="s">
        <v>923</v>
      </c>
      <c r="E79" s="66" t="s">
        <v>474</v>
      </c>
      <c r="F79" s="8" t="s">
        <v>1231</v>
      </c>
      <c r="G79" s="66"/>
      <c r="H79" s="8"/>
      <c r="I79" s="8"/>
    </row>
    <row r="80" customFormat="false" ht="23.25" hidden="false" customHeight="true" outlineLevel="0" collapsed="false">
      <c r="A80" s="66" t="n">
        <v>78</v>
      </c>
      <c r="B80" s="66" t="s">
        <v>921</v>
      </c>
      <c r="C80" s="66" t="s">
        <v>922</v>
      </c>
      <c r="D80" s="66" t="s">
        <v>923</v>
      </c>
      <c r="E80" s="66" t="s">
        <v>1232</v>
      </c>
      <c r="F80" s="8" t="s">
        <v>1233</v>
      </c>
      <c r="G80" s="66"/>
      <c r="H80" s="8"/>
      <c r="I80" s="8"/>
    </row>
    <row r="81" customFormat="false" ht="34.5" hidden="false" customHeight="true" outlineLevel="0" collapsed="false">
      <c r="A81" s="66" t="n">
        <v>79</v>
      </c>
      <c r="B81" s="66" t="s">
        <v>925</v>
      </c>
      <c r="C81" s="66" t="s">
        <v>926</v>
      </c>
      <c r="D81" s="66" t="s">
        <v>927</v>
      </c>
      <c r="E81" s="66" t="s">
        <v>963</v>
      </c>
      <c r="F81" s="8" t="s">
        <v>1259</v>
      </c>
      <c r="G81" s="66"/>
      <c r="H81" s="8"/>
      <c r="I81" s="8"/>
    </row>
    <row r="82" customFormat="false" ht="34.5" hidden="false" customHeight="true" outlineLevel="0" collapsed="false">
      <c r="A82" s="66" t="n">
        <v>80</v>
      </c>
      <c r="B82" s="66" t="s">
        <v>925</v>
      </c>
      <c r="C82" s="66" t="s">
        <v>926</v>
      </c>
      <c r="D82" s="66" t="s">
        <v>927</v>
      </c>
      <c r="E82" s="66" t="s">
        <v>474</v>
      </c>
      <c r="F82" s="8" t="s">
        <v>1231</v>
      </c>
      <c r="G82" s="66"/>
      <c r="H82" s="8"/>
      <c r="I82" s="8"/>
    </row>
    <row r="83" customFormat="false" ht="23.25" hidden="false" customHeight="true" outlineLevel="0" collapsed="false">
      <c r="A83" s="66" t="n">
        <v>81</v>
      </c>
      <c r="B83" s="66" t="s">
        <v>925</v>
      </c>
      <c r="C83" s="66" t="s">
        <v>926</v>
      </c>
      <c r="D83" s="66" t="s">
        <v>927</v>
      </c>
      <c r="E83" s="66" t="s">
        <v>1232</v>
      </c>
      <c r="F83" s="8" t="s">
        <v>1233</v>
      </c>
      <c r="G83" s="66"/>
      <c r="H83" s="8"/>
      <c r="I83" s="8"/>
    </row>
    <row r="84" customFormat="false" ht="34.5" hidden="false" customHeight="true" outlineLevel="0" collapsed="false">
      <c r="A84" s="66" t="n">
        <v>82</v>
      </c>
      <c r="B84" s="66" t="s">
        <v>929</v>
      </c>
      <c r="C84" s="66" t="s">
        <v>930</v>
      </c>
      <c r="D84" s="66" t="s">
        <v>931</v>
      </c>
      <c r="E84" s="66" t="s">
        <v>963</v>
      </c>
      <c r="F84" s="8" t="s">
        <v>1260</v>
      </c>
      <c r="G84" s="66"/>
      <c r="H84" s="8"/>
      <c r="I84" s="8"/>
    </row>
    <row r="85" customFormat="false" ht="34.5" hidden="false" customHeight="true" outlineLevel="0" collapsed="false">
      <c r="A85" s="66" t="n">
        <v>83</v>
      </c>
      <c r="B85" s="66" t="s">
        <v>929</v>
      </c>
      <c r="C85" s="66" t="s">
        <v>930</v>
      </c>
      <c r="D85" s="66" t="s">
        <v>931</v>
      </c>
      <c r="E85" s="66" t="s">
        <v>474</v>
      </c>
      <c r="F85" s="8" t="s">
        <v>1231</v>
      </c>
      <c r="G85" s="66"/>
      <c r="H85" s="8"/>
      <c r="I85" s="8"/>
    </row>
    <row r="86" customFormat="false" ht="23.25" hidden="false" customHeight="true" outlineLevel="0" collapsed="false">
      <c r="A86" s="66" t="n">
        <v>84</v>
      </c>
      <c r="B86" s="66" t="s">
        <v>929</v>
      </c>
      <c r="C86" s="66" t="s">
        <v>930</v>
      </c>
      <c r="D86" s="66" t="s">
        <v>931</v>
      </c>
      <c r="E86" s="66" t="s">
        <v>1232</v>
      </c>
      <c r="F86" s="8" t="s">
        <v>1233</v>
      </c>
      <c r="G86" s="66"/>
      <c r="H86" s="8"/>
      <c r="I86" s="8"/>
    </row>
    <row r="87" customFormat="false" ht="45.75" hidden="false" customHeight="true" outlineLevel="0" collapsed="false">
      <c r="A87" s="66" t="n">
        <v>85</v>
      </c>
      <c r="B87" s="66" t="s">
        <v>933</v>
      </c>
      <c r="C87" s="66" t="s">
        <v>934</v>
      </c>
      <c r="D87" s="66" t="s">
        <v>935</v>
      </c>
      <c r="E87" s="66" t="s">
        <v>963</v>
      </c>
      <c r="F87" s="8" t="s">
        <v>1261</v>
      </c>
      <c r="G87" s="66"/>
      <c r="H87" s="8"/>
      <c r="I87" s="8"/>
    </row>
    <row r="88" customFormat="false" ht="34.5" hidden="false" customHeight="true" outlineLevel="0" collapsed="false">
      <c r="A88" s="66" t="n">
        <v>86</v>
      </c>
      <c r="B88" s="66" t="s">
        <v>933</v>
      </c>
      <c r="C88" s="66" t="s">
        <v>934</v>
      </c>
      <c r="D88" s="66" t="s">
        <v>935</v>
      </c>
      <c r="E88" s="66" t="s">
        <v>474</v>
      </c>
      <c r="F88" s="8" t="s">
        <v>1231</v>
      </c>
      <c r="G88" s="66"/>
      <c r="H88" s="8"/>
      <c r="I88" s="8"/>
    </row>
    <row r="89" customFormat="false" ht="23.25" hidden="false" customHeight="true" outlineLevel="0" collapsed="false">
      <c r="A89" s="66" t="n">
        <v>87</v>
      </c>
      <c r="B89" s="66" t="s">
        <v>933</v>
      </c>
      <c r="C89" s="66" t="s">
        <v>934</v>
      </c>
      <c r="D89" s="66" t="s">
        <v>935</v>
      </c>
      <c r="E89" s="66" t="s">
        <v>1232</v>
      </c>
      <c r="F89" s="8" t="s">
        <v>1233</v>
      </c>
      <c r="G89" s="66"/>
      <c r="H89" s="8"/>
      <c r="I89" s="8"/>
    </row>
    <row r="90" customFormat="false" ht="23.25" hidden="false" customHeight="true" outlineLevel="0" collapsed="false">
      <c r="A90" s="66" t="n">
        <v>88</v>
      </c>
      <c r="B90" s="66" t="s">
        <v>937</v>
      </c>
      <c r="C90" s="66" t="s">
        <v>938</v>
      </c>
      <c r="D90" s="66" t="s">
        <v>895</v>
      </c>
      <c r="E90" s="66" t="s">
        <v>963</v>
      </c>
      <c r="F90" s="8" t="s">
        <v>1262</v>
      </c>
      <c r="G90" s="66"/>
      <c r="H90" s="8"/>
      <c r="I90" s="8"/>
    </row>
    <row r="91" customFormat="false" ht="34.5" hidden="false" customHeight="true" outlineLevel="0" collapsed="false">
      <c r="A91" s="66" t="n">
        <v>89</v>
      </c>
      <c r="B91" s="66" t="s">
        <v>937</v>
      </c>
      <c r="C91" s="66" t="s">
        <v>938</v>
      </c>
      <c r="D91" s="66" t="s">
        <v>895</v>
      </c>
      <c r="E91" s="66" t="s">
        <v>474</v>
      </c>
      <c r="F91" s="8" t="s">
        <v>1231</v>
      </c>
      <c r="G91" s="66"/>
      <c r="H91" s="8"/>
      <c r="I91" s="8"/>
    </row>
    <row r="92" customFormat="false" ht="23.25" hidden="false" customHeight="true" outlineLevel="0" collapsed="false">
      <c r="A92" s="66" t="n">
        <v>90</v>
      </c>
      <c r="B92" s="66" t="s">
        <v>937</v>
      </c>
      <c r="C92" s="66" t="s">
        <v>938</v>
      </c>
      <c r="D92" s="66" t="s">
        <v>895</v>
      </c>
      <c r="E92" s="66" t="s">
        <v>1232</v>
      </c>
      <c r="F92" s="8" t="s">
        <v>1233</v>
      </c>
      <c r="G92" s="66"/>
      <c r="H92" s="8"/>
      <c r="I92" s="8"/>
    </row>
    <row r="93" customFormat="false" ht="34.5" hidden="false" customHeight="true" outlineLevel="0" collapsed="false">
      <c r="A93" s="66" t="n">
        <v>91</v>
      </c>
      <c r="B93" s="66" t="s">
        <v>940</v>
      </c>
      <c r="C93" s="66" t="s">
        <v>941</v>
      </c>
      <c r="D93" s="66" t="s">
        <v>942</v>
      </c>
      <c r="E93" s="66" t="s">
        <v>963</v>
      </c>
      <c r="F93" s="8" t="s">
        <v>1263</v>
      </c>
      <c r="G93" s="66"/>
      <c r="H93" s="8"/>
      <c r="I93" s="8"/>
    </row>
    <row r="94" customFormat="false" ht="34.5" hidden="false" customHeight="true" outlineLevel="0" collapsed="false">
      <c r="A94" s="66" t="n">
        <v>92</v>
      </c>
      <c r="B94" s="66" t="s">
        <v>940</v>
      </c>
      <c r="C94" s="66" t="s">
        <v>941</v>
      </c>
      <c r="D94" s="66" t="s">
        <v>942</v>
      </c>
      <c r="E94" s="66" t="s">
        <v>474</v>
      </c>
      <c r="F94" s="8" t="s">
        <v>1231</v>
      </c>
      <c r="G94" s="66"/>
      <c r="H94" s="8"/>
      <c r="I94" s="8"/>
    </row>
    <row r="95" customFormat="false" ht="23.25" hidden="false" customHeight="true" outlineLevel="0" collapsed="false">
      <c r="A95" s="66" t="n">
        <v>93</v>
      </c>
      <c r="B95" s="66" t="s">
        <v>940</v>
      </c>
      <c r="C95" s="66" t="s">
        <v>941</v>
      </c>
      <c r="D95" s="66" t="s">
        <v>942</v>
      </c>
      <c r="E95" s="66" t="s">
        <v>1232</v>
      </c>
      <c r="F95" s="8" t="s">
        <v>1233</v>
      </c>
      <c r="G95" s="66"/>
      <c r="H95" s="8"/>
      <c r="I95" s="8"/>
    </row>
    <row r="96" customFormat="false" ht="23.25" hidden="false" customHeight="true" outlineLevel="0" collapsed="false">
      <c r="A96" s="66" t="n">
        <v>94</v>
      </c>
      <c r="B96" s="66" t="s">
        <v>944</v>
      </c>
      <c r="C96" s="66" t="s">
        <v>945</v>
      </c>
      <c r="D96" s="66" t="s">
        <v>946</v>
      </c>
      <c r="E96" s="66" t="s">
        <v>963</v>
      </c>
      <c r="F96" s="8" t="s">
        <v>1264</v>
      </c>
      <c r="G96" s="66"/>
      <c r="H96" s="8"/>
      <c r="I96" s="8"/>
    </row>
    <row r="97" customFormat="false" ht="34.5" hidden="false" customHeight="true" outlineLevel="0" collapsed="false">
      <c r="A97" s="66" t="n">
        <v>95</v>
      </c>
      <c r="B97" s="66" t="s">
        <v>944</v>
      </c>
      <c r="C97" s="66" t="s">
        <v>945</v>
      </c>
      <c r="D97" s="66" t="s">
        <v>946</v>
      </c>
      <c r="E97" s="66" t="s">
        <v>474</v>
      </c>
      <c r="F97" s="8" t="s">
        <v>1231</v>
      </c>
      <c r="G97" s="66"/>
      <c r="H97" s="8"/>
      <c r="I97" s="8"/>
    </row>
    <row r="98" customFormat="false" ht="23.25" hidden="false" customHeight="true" outlineLevel="0" collapsed="false">
      <c r="A98" s="66" t="n">
        <v>96</v>
      </c>
      <c r="B98" s="66" t="s">
        <v>944</v>
      </c>
      <c r="C98" s="66" t="s">
        <v>945</v>
      </c>
      <c r="D98" s="66" t="s">
        <v>946</v>
      </c>
      <c r="E98" s="66" t="s">
        <v>1232</v>
      </c>
      <c r="F98" s="8" t="s">
        <v>1233</v>
      </c>
      <c r="G98" s="66"/>
      <c r="H98" s="8"/>
      <c r="I98" s="8"/>
    </row>
    <row r="99" customFormat="false" ht="23.25" hidden="false" customHeight="true" outlineLevel="0" collapsed="false">
      <c r="A99" s="66" t="n">
        <v>97</v>
      </c>
      <c r="B99" s="66" t="s">
        <v>948</v>
      </c>
      <c r="C99" s="66" t="s">
        <v>949</v>
      </c>
      <c r="D99" s="66" t="s">
        <v>950</v>
      </c>
      <c r="E99" s="66" t="s">
        <v>963</v>
      </c>
      <c r="F99" s="8" t="s">
        <v>1265</v>
      </c>
      <c r="G99" s="66"/>
      <c r="H99" s="8"/>
      <c r="I99" s="8"/>
    </row>
    <row r="100" customFormat="false" ht="34.5" hidden="false" customHeight="true" outlineLevel="0" collapsed="false">
      <c r="A100" s="66" t="n">
        <v>98</v>
      </c>
      <c r="B100" s="66" t="s">
        <v>948</v>
      </c>
      <c r="C100" s="66" t="s">
        <v>949</v>
      </c>
      <c r="D100" s="66" t="s">
        <v>950</v>
      </c>
      <c r="E100" s="66" t="s">
        <v>474</v>
      </c>
      <c r="F100" s="8" t="s">
        <v>1231</v>
      </c>
      <c r="G100" s="66"/>
      <c r="H100" s="8"/>
      <c r="I100" s="8"/>
    </row>
    <row r="101" customFormat="false" ht="23.25" hidden="false" customHeight="true" outlineLevel="0" collapsed="false">
      <c r="A101" s="66" t="n">
        <v>99</v>
      </c>
      <c r="B101" s="66" t="s">
        <v>948</v>
      </c>
      <c r="C101" s="66" t="s">
        <v>949</v>
      </c>
      <c r="D101" s="66" t="s">
        <v>950</v>
      </c>
      <c r="E101" s="66" t="s">
        <v>1232</v>
      </c>
      <c r="F101" s="8" t="s">
        <v>1233</v>
      </c>
      <c r="G101" s="66"/>
      <c r="H101" s="8"/>
      <c r="I101" s="8"/>
    </row>
    <row r="102" customFormat="false" ht="34.5" hidden="false" customHeight="true" outlineLevel="0" collapsed="false">
      <c r="A102" s="66" t="n">
        <v>100</v>
      </c>
      <c r="B102" s="66" t="s">
        <v>855</v>
      </c>
      <c r="C102" s="66" t="s">
        <v>570</v>
      </c>
      <c r="D102" s="66" t="s">
        <v>858</v>
      </c>
      <c r="E102" s="66" t="s">
        <v>1109</v>
      </c>
      <c r="F102" s="8" t="s">
        <v>1266</v>
      </c>
      <c r="G102" s="66"/>
      <c r="H102" s="8"/>
      <c r="I102" s="8"/>
    </row>
    <row r="103" customFormat="false" ht="34.5" hidden="false" customHeight="true" outlineLevel="0" collapsed="false">
      <c r="A103" s="66" t="n">
        <v>101</v>
      </c>
      <c r="B103" s="66" t="s">
        <v>863</v>
      </c>
      <c r="C103" s="66" t="s">
        <v>574</v>
      </c>
      <c r="D103" s="66" t="s">
        <v>864</v>
      </c>
      <c r="E103" s="66" t="s">
        <v>1109</v>
      </c>
      <c r="F103" s="8" t="s">
        <v>1267</v>
      </c>
      <c r="G103" s="66"/>
      <c r="H103" s="8"/>
      <c r="I103" s="8"/>
    </row>
    <row r="104" customFormat="false" ht="34.5" hidden="false" customHeight="true" outlineLevel="0" collapsed="false">
      <c r="A104" s="66" t="n">
        <v>102</v>
      </c>
      <c r="B104" s="66" t="s">
        <v>887</v>
      </c>
      <c r="C104" s="66" t="s">
        <v>891</v>
      </c>
      <c r="D104" s="66" t="s">
        <v>892</v>
      </c>
      <c r="E104" s="66" t="s">
        <v>1109</v>
      </c>
      <c r="F104" s="8" t="s">
        <v>1268</v>
      </c>
      <c r="G104" s="66"/>
      <c r="H104" s="8"/>
      <c r="I104" s="8"/>
    </row>
    <row r="105" customFormat="false" ht="34.5" hidden="false" customHeight="true" outlineLevel="0" collapsed="false">
      <c r="A105" s="66" t="n">
        <v>103</v>
      </c>
      <c r="B105" s="66" t="s">
        <v>887</v>
      </c>
      <c r="C105" s="66" t="s">
        <v>894</v>
      </c>
      <c r="D105" s="66" t="s">
        <v>895</v>
      </c>
      <c r="E105" s="66" t="s">
        <v>1109</v>
      </c>
      <c r="F105" s="8" t="s">
        <v>1269</v>
      </c>
      <c r="G105" s="66"/>
      <c r="H105" s="8"/>
      <c r="I105" s="8"/>
    </row>
    <row r="106" customFormat="false" ht="23.25" hidden="false" customHeight="true" outlineLevel="0" collapsed="false">
      <c r="A106" s="66" t="n">
        <v>104</v>
      </c>
      <c r="B106" s="66" t="s">
        <v>900</v>
      </c>
      <c r="C106" s="66" t="s">
        <v>904</v>
      </c>
      <c r="D106" s="66" t="s">
        <v>905</v>
      </c>
      <c r="E106" s="66" t="s">
        <v>1109</v>
      </c>
      <c r="F106" s="8" t="s">
        <v>1270</v>
      </c>
      <c r="G106" s="66"/>
      <c r="H106" s="8"/>
      <c r="I106" s="8"/>
    </row>
  </sheetData>
  <mergeCells count="1">
    <mergeCell ref="A1:I1"/>
  </mergeCells>
  <conditionalFormatting sqref="G3:G106">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G3:G106"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1271</v>
      </c>
      <c r="B1" s="60"/>
      <c r="C1" s="60"/>
      <c r="D1" s="60"/>
      <c r="E1" s="60"/>
      <c r="F1" s="60"/>
      <c r="G1" s="60"/>
      <c r="I1" s="70" t="s">
        <v>1272</v>
      </c>
      <c r="J1" s="71" t="n">
        <f aca="false">IFERROR((COUNTIF(D3:D20,"Yes")+0.5*COUNTIF(D3:D20,"Partial"))/(COUNTA(D3:D20)-COUNTIF(D3:D20,"N/A")),0)</f>
        <v>0</v>
      </c>
    </row>
    <row r="2" customFormat="false" ht="25.5" hidden="false" customHeight="true" outlineLevel="0" collapsed="false">
      <c r="A2" s="61" t="s">
        <v>88</v>
      </c>
      <c r="B2" s="61" t="s">
        <v>1273</v>
      </c>
      <c r="C2" s="61" t="s">
        <v>1274</v>
      </c>
      <c r="D2" s="61" t="s">
        <v>960</v>
      </c>
      <c r="E2" s="61" t="s">
        <v>961</v>
      </c>
      <c r="F2" s="61" t="s">
        <v>209</v>
      </c>
      <c r="G2" s="61" t="s">
        <v>1275</v>
      </c>
    </row>
    <row r="3" customFormat="false" ht="34.5" hidden="false" customHeight="true" outlineLevel="0" collapsed="false">
      <c r="A3" s="66" t="n">
        <v>1</v>
      </c>
      <c r="B3" s="8" t="s">
        <v>1276</v>
      </c>
      <c r="C3" s="8" t="s">
        <v>1277</v>
      </c>
      <c r="D3" s="66"/>
      <c r="E3" s="8"/>
      <c r="F3" s="66"/>
      <c r="G3" s="8"/>
    </row>
    <row r="4" customFormat="false" ht="23.25" hidden="false" customHeight="true" outlineLevel="0" collapsed="false">
      <c r="A4" s="66" t="n">
        <v>2</v>
      </c>
      <c r="B4" s="8" t="s">
        <v>1276</v>
      </c>
      <c r="C4" s="8" t="s">
        <v>1278</v>
      </c>
      <c r="D4" s="66"/>
      <c r="E4" s="8"/>
      <c r="F4" s="66"/>
      <c r="G4" s="8"/>
    </row>
    <row r="5" customFormat="false" ht="23.25" hidden="false" customHeight="true" outlineLevel="0" collapsed="false">
      <c r="A5" s="66" t="n">
        <v>3</v>
      </c>
      <c r="B5" s="8" t="s">
        <v>1279</v>
      </c>
      <c r="C5" s="8" t="s">
        <v>1280</v>
      </c>
      <c r="D5" s="66"/>
      <c r="E5" s="8"/>
      <c r="F5" s="66"/>
      <c r="G5" s="8"/>
    </row>
    <row r="6" customFormat="false" ht="23.25" hidden="false" customHeight="true" outlineLevel="0" collapsed="false">
      <c r="A6" s="66" t="n">
        <v>4</v>
      </c>
      <c r="B6" s="8" t="s">
        <v>1279</v>
      </c>
      <c r="C6" s="8" t="s">
        <v>1281</v>
      </c>
      <c r="D6" s="66"/>
      <c r="E6" s="8"/>
      <c r="F6" s="66"/>
      <c r="G6" s="8"/>
    </row>
    <row r="7" customFormat="false" ht="23.25" hidden="false" customHeight="true" outlineLevel="0" collapsed="false">
      <c r="A7" s="66" t="n">
        <v>5</v>
      </c>
      <c r="B7" s="8" t="s">
        <v>455</v>
      </c>
      <c r="C7" s="8" t="s">
        <v>1282</v>
      </c>
      <c r="D7" s="66"/>
      <c r="E7" s="8"/>
      <c r="F7" s="66"/>
      <c r="G7" s="8"/>
    </row>
    <row r="8" customFormat="false" ht="23.25" hidden="false" customHeight="true" outlineLevel="0" collapsed="false">
      <c r="A8" s="66" t="n">
        <v>6</v>
      </c>
      <c r="B8" s="8" t="s">
        <v>455</v>
      </c>
      <c r="C8" s="8" t="s">
        <v>1283</v>
      </c>
      <c r="D8" s="66"/>
      <c r="E8" s="8"/>
      <c r="F8" s="66"/>
      <c r="G8" s="8"/>
    </row>
    <row r="9" customFormat="false" ht="23.25" hidden="false" customHeight="true" outlineLevel="0" collapsed="false">
      <c r="A9" s="66" t="n">
        <v>7</v>
      </c>
      <c r="B9" s="8" t="s">
        <v>301</v>
      </c>
      <c r="C9" s="8" t="s">
        <v>1284</v>
      </c>
      <c r="D9" s="66"/>
      <c r="E9" s="8"/>
      <c r="F9" s="66"/>
      <c r="G9" s="8"/>
    </row>
    <row r="10" customFormat="false" ht="23.25" hidden="false" customHeight="true" outlineLevel="0" collapsed="false">
      <c r="A10" s="66" t="n">
        <v>8</v>
      </c>
      <c r="B10" s="8" t="s">
        <v>301</v>
      </c>
      <c r="C10" s="8" t="s">
        <v>1285</v>
      </c>
      <c r="D10" s="66"/>
      <c r="E10" s="8"/>
      <c r="F10" s="66"/>
      <c r="G10" s="8"/>
    </row>
    <row r="11" customFormat="false" ht="23.25" hidden="false" customHeight="true" outlineLevel="0" collapsed="false">
      <c r="A11" s="66" t="n">
        <v>9</v>
      </c>
      <c r="B11" s="8" t="s">
        <v>373</v>
      </c>
      <c r="C11" s="8" t="s">
        <v>1286</v>
      </c>
      <c r="D11" s="66"/>
      <c r="E11" s="8"/>
      <c r="F11" s="66"/>
      <c r="G11" s="8"/>
    </row>
    <row r="12" customFormat="false" ht="23.25" hidden="false" customHeight="true" outlineLevel="0" collapsed="false">
      <c r="A12" s="66" t="n">
        <v>10</v>
      </c>
      <c r="B12" s="8" t="s">
        <v>373</v>
      </c>
      <c r="C12" s="8" t="s">
        <v>1287</v>
      </c>
      <c r="D12" s="66"/>
      <c r="E12" s="8"/>
      <c r="F12" s="66"/>
      <c r="G12" s="8"/>
    </row>
    <row r="13" customFormat="false" ht="23.25" hidden="false" customHeight="true" outlineLevel="0" collapsed="false">
      <c r="A13" s="66" t="n">
        <v>11</v>
      </c>
      <c r="B13" s="8" t="s">
        <v>1288</v>
      </c>
      <c r="C13" s="8" t="s">
        <v>1289</v>
      </c>
      <c r="D13" s="66"/>
      <c r="E13" s="8"/>
      <c r="F13" s="66"/>
      <c r="G13" s="8"/>
    </row>
    <row r="14" customFormat="false" ht="15" hidden="false" customHeight="true" outlineLevel="0" collapsed="false">
      <c r="A14" s="66" t="n">
        <v>12</v>
      </c>
      <c r="B14" s="8" t="s">
        <v>1288</v>
      </c>
      <c r="C14" s="8" t="s">
        <v>1290</v>
      </c>
      <c r="D14" s="66"/>
      <c r="E14" s="8"/>
      <c r="F14" s="66"/>
      <c r="G14" s="8"/>
    </row>
    <row r="15" customFormat="false" ht="23.25" hidden="false" customHeight="true" outlineLevel="0" collapsed="false">
      <c r="A15" s="66" t="n">
        <v>13</v>
      </c>
      <c r="B15" s="8" t="s">
        <v>328</v>
      </c>
      <c r="C15" s="8" t="s">
        <v>1291</v>
      </c>
      <c r="D15" s="66"/>
      <c r="E15" s="8"/>
      <c r="F15" s="66"/>
      <c r="G15" s="8"/>
    </row>
    <row r="16" customFormat="false" ht="23.25" hidden="false" customHeight="true" outlineLevel="0" collapsed="false">
      <c r="A16" s="66" t="n">
        <v>14</v>
      </c>
      <c r="B16" s="8" t="s">
        <v>328</v>
      </c>
      <c r="C16" s="8" t="s">
        <v>1292</v>
      </c>
      <c r="D16" s="66"/>
      <c r="E16" s="8"/>
      <c r="F16" s="66"/>
      <c r="G16" s="8"/>
    </row>
    <row r="17" customFormat="false" ht="23.25" hidden="false" customHeight="true" outlineLevel="0" collapsed="false">
      <c r="A17" s="66" t="n">
        <v>15</v>
      </c>
      <c r="B17" s="8" t="s">
        <v>354</v>
      </c>
      <c r="C17" s="8" t="s">
        <v>1293</v>
      </c>
      <c r="D17" s="66"/>
      <c r="E17" s="8"/>
      <c r="F17" s="66"/>
      <c r="G17" s="8"/>
    </row>
    <row r="18" customFormat="false" ht="23.25" hidden="false" customHeight="true" outlineLevel="0" collapsed="false">
      <c r="A18" s="66" t="n">
        <v>16</v>
      </c>
      <c r="B18" s="8" t="s">
        <v>354</v>
      </c>
      <c r="C18" s="8" t="s">
        <v>1294</v>
      </c>
      <c r="D18" s="66"/>
      <c r="E18" s="8"/>
      <c r="F18" s="66"/>
      <c r="G18" s="8"/>
    </row>
    <row r="19" customFormat="false" ht="23.25" hidden="false" customHeight="true" outlineLevel="0" collapsed="false">
      <c r="A19" s="66" t="n">
        <v>17</v>
      </c>
      <c r="B19" s="8" t="s">
        <v>1295</v>
      </c>
      <c r="C19" s="8" t="s">
        <v>1296</v>
      </c>
      <c r="D19" s="66"/>
      <c r="E19" s="8"/>
      <c r="F19" s="66"/>
      <c r="G19" s="8"/>
    </row>
    <row r="20" customFormat="false" ht="23.25" hidden="false" customHeight="true" outlineLevel="0" collapsed="false">
      <c r="A20" s="66" t="n">
        <v>18</v>
      </c>
      <c r="B20" s="8" t="s">
        <v>1295</v>
      </c>
      <c r="C20" s="8" t="s">
        <v>1297</v>
      </c>
      <c r="D20" s="66"/>
      <c r="E20" s="8"/>
      <c r="F20" s="66"/>
      <c r="G20" s="8"/>
    </row>
  </sheetData>
  <mergeCells count="1">
    <mergeCell ref="A1:G1"/>
  </mergeCells>
  <conditionalFormatting sqref="D3:D20">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20"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1298</v>
      </c>
      <c r="B1" s="60"/>
      <c r="C1" s="60"/>
      <c r="D1" s="60"/>
      <c r="E1" s="60"/>
      <c r="F1" s="60"/>
      <c r="G1" s="60"/>
      <c r="I1" s="70" t="s">
        <v>1272</v>
      </c>
      <c r="J1" s="71" t="n">
        <f aca="false">IFERROR((COUNTIF(D3:D18,"Yes")+0.5*COUNTIF(D3:D18,"Partial"))/(COUNTA(D3:D18)-COUNTIF(D3:D18,"N/A")),0)</f>
        <v>0</v>
      </c>
    </row>
    <row r="2" customFormat="false" ht="25.5" hidden="false" customHeight="true" outlineLevel="0" collapsed="false">
      <c r="A2" s="61" t="s">
        <v>88</v>
      </c>
      <c r="B2" s="61" t="s">
        <v>1299</v>
      </c>
      <c r="C2" s="61" t="s">
        <v>1274</v>
      </c>
      <c r="D2" s="61" t="s">
        <v>960</v>
      </c>
      <c r="E2" s="61" t="s">
        <v>961</v>
      </c>
      <c r="F2" s="61" t="s">
        <v>209</v>
      </c>
      <c r="G2" s="61" t="s">
        <v>1275</v>
      </c>
    </row>
    <row r="3" customFormat="false" ht="23.25" hidden="false" customHeight="true" outlineLevel="0" collapsed="false">
      <c r="A3" s="66" t="n">
        <v>1</v>
      </c>
      <c r="B3" s="8" t="s">
        <v>1300</v>
      </c>
      <c r="C3" s="8" t="s">
        <v>1301</v>
      </c>
      <c r="D3" s="66"/>
      <c r="E3" s="8"/>
      <c r="F3" s="66"/>
      <c r="G3" s="8"/>
    </row>
    <row r="4" customFormat="false" ht="23.25" hidden="false" customHeight="true" outlineLevel="0" collapsed="false">
      <c r="A4" s="66" t="n">
        <v>2</v>
      </c>
      <c r="B4" s="8" t="s">
        <v>1300</v>
      </c>
      <c r="C4" s="8" t="s">
        <v>1302</v>
      </c>
      <c r="D4" s="66"/>
      <c r="E4" s="8"/>
      <c r="F4" s="66"/>
      <c r="G4" s="8"/>
    </row>
    <row r="5" customFormat="false" ht="23.25" hidden="false" customHeight="true" outlineLevel="0" collapsed="false">
      <c r="A5" s="66" t="n">
        <v>3</v>
      </c>
      <c r="B5" s="8" t="s">
        <v>1300</v>
      </c>
      <c r="C5" s="8" t="s">
        <v>1303</v>
      </c>
      <c r="D5" s="66"/>
      <c r="E5" s="8"/>
      <c r="F5" s="66"/>
      <c r="G5" s="8"/>
    </row>
    <row r="6" customFormat="false" ht="15" hidden="false" customHeight="true" outlineLevel="0" collapsed="false">
      <c r="A6" s="66" t="n">
        <v>4</v>
      </c>
      <c r="B6" s="8" t="s">
        <v>1300</v>
      </c>
      <c r="C6" s="8" t="s">
        <v>1304</v>
      </c>
      <c r="D6" s="66"/>
      <c r="E6" s="8"/>
      <c r="F6" s="66"/>
      <c r="G6" s="8"/>
    </row>
    <row r="7" customFormat="false" ht="23.25" hidden="false" customHeight="true" outlineLevel="0" collapsed="false">
      <c r="A7" s="66" t="n">
        <v>5</v>
      </c>
      <c r="B7" s="8" t="s">
        <v>1305</v>
      </c>
      <c r="C7" s="8" t="s">
        <v>1306</v>
      </c>
      <c r="D7" s="66"/>
      <c r="E7" s="8"/>
      <c r="F7" s="66"/>
      <c r="G7" s="8"/>
    </row>
    <row r="8" customFormat="false" ht="23.25" hidden="false" customHeight="true" outlineLevel="0" collapsed="false">
      <c r="A8" s="66" t="n">
        <v>6</v>
      </c>
      <c r="B8" s="8" t="s">
        <v>1305</v>
      </c>
      <c r="C8" s="8" t="s">
        <v>1307</v>
      </c>
      <c r="D8" s="66"/>
      <c r="E8" s="8"/>
      <c r="F8" s="66"/>
      <c r="G8" s="8"/>
    </row>
    <row r="9" customFormat="false" ht="23.25" hidden="false" customHeight="true" outlineLevel="0" collapsed="false">
      <c r="A9" s="66" t="n">
        <v>7</v>
      </c>
      <c r="B9" s="8" t="s">
        <v>1305</v>
      </c>
      <c r="C9" s="8" t="s">
        <v>1308</v>
      </c>
      <c r="D9" s="66"/>
      <c r="E9" s="8"/>
      <c r="F9" s="66"/>
      <c r="G9" s="8"/>
    </row>
    <row r="10" customFormat="false" ht="23.25" hidden="false" customHeight="true" outlineLevel="0" collapsed="false">
      <c r="A10" s="66" t="n">
        <v>8</v>
      </c>
      <c r="B10" s="8" t="s">
        <v>1309</v>
      </c>
      <c r="C10" s="8" t="s">
        <v>1310</v>
      </c>
      <c r="D10" s="66"/>
      <c r="E10" s="8"/>
      <c r="F10" s="66"/>
      <c r="G10" s="8"/>
    </row>
    <row r="11" customFormat="false" ht="23.25" hidden="false" customHeight="true" outlineLevel="0" collapsed="false">
      <c r="A11" s="66" t="n">
        <v>9</v>
      </c>
      <c r="B11" s="8" t="s">
        <v>1309</v>
      </c>
      <c r="C11" s="8" t="s">
        <v>1311</v>
      </c>
      <c r="D11" s="66"/>
      <c r="E11" s="8"/>
      <c r="F11" s="66"/>
      <c r="G11" s="8"/>
    </row>
    <row r="12" customFormat="false" ht="23.25" hidden="false" customHeight="true" outlineLevel="0" collapsed="false">
      <c r="A12" s="66" t="n">
        <v>10</v>
      </c>
      <c r="B12" s="8" t="s">
        <v>1309</v>
      </c>
      <c r="C12" s="8" t="s">
        <v>1312</v>
      </c>
      <c r="D12" s="66"/>
      <c r="E12" s="8"/>
      <c r="F12" s="66"/>
      <c r="G12" s="8"/>
    </row>
    <row r="13" customFormat="false" ht="15" hidden="false" customHeight="true" outlineLevel="0" collapsed="false">
      <c r="A13" s="66" t="n">
        <v>11</v>
      </c>
      <c r="B13" s="8" t="s">
        <v>1309</v>
      </c>
      <c r="C13" s="8" t="s">
        <v>1313</v>
      </c>
      <c r="D13" s="66"/>
      <c r="E13" s="8"/>
      <c r="F13" s="66"/>
      <c r="G13" s="8"/>
    </row>
    <row r="14" customFormat="false" ht="23.25" hidden="false" customHeight="true" outlineLevel="0" collapsed="false">
      <c r="A14" s="66" t="n">
        <v>12</v>
      </c>
      <c r="B14" s="8" t="s">
        <v>1314</v>
      </c>
      <c r="C14" s="8" t="s">
        <v>1315</v>
      </c>
      <c r="D14" s="66"/>
      <c r="E14" s="8"/>
      <c r="F14" s="66"/>
      <c r="G14" s="8"/>
    </row>
    <row r="15" customFormat="false" ht="23.25" hidden="false" customHeight="true" outlineLevel="0" collapsed="false">
      <c r="A15" s="66" t="n">
        <v>13</v>
      </c>
      <c r="B15" s="8" t="s">
        <v>1314</v>
      </c>
      <c r="C15" s="8" t="s">
        <v>1316</v>
      </c>
      <c r="D15" s="66"/>
      <c r="E15" s="8"/>
      <c r="F15" s="66"/>
      <c r="G15" s="8"/>
    </row>
    <row r="16" customFormat="false" ht="15" hidden="false" customHeight="true" outlineLevel="0" collapsed="false">
      <c r="A16" s="66" t="n">
        <v>14</v>
      </c>
      <c r="B16" s="8" t="s">
        <v>1314</v>
      </c>
      <c r="C16" s="8" t="s">
        <v>1317</v>
      </c>
      <c r="D16" s="66"/>
      <c r="E16" s="8"/>
      <c r="F16" s="66"/>
      <c r="G16" s="8"/>
    </row>
    <row r="17" customFormat="false" ht="15" hidden="false" customHeight="true" outlineLevel="0" collapsed="false">
      <c r="A17" s="66" t="n">
        <v>15</v>
      </c>
      <c r="B17" s="8" t="s">
        <v>1314</v>
      </c>
      <c r="C17" s="8" t="s">
        <v>1318</v>
      </c>
      <c r="D17" s="66"/>
      <c r="E17" s="8"/>
      <c r="F17" s="66"/>
      <c r="G17" s="8"/>
    </row>
    <row r="18" customFormat="false" ht="23.25" hidden="false" customHeight="true" outlineLevel="0" collapsed="false">
      <c r="A18" s="66" t="n">
        <v>16</v>
      </c>
      <c r="B18" s="8" t="s">
        <v>1314</v>
      </c>
      <c r="C18" s="8" t="s">
        <v>1319</v>
      </c>
      <c r="D18" s="66"/>
      <c r="E18" s="8"/>
      <c r="F18" s="66"/>
      <c r="G18" s="8"/>
    </row>
  </sheetData>
  <mergeCells count="1">
    <mergeCell ref="A1:G1"/>
  </mergeCells>
  <conditionalFormatting sqref="D3:D18">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8"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1320</v>
      </c>
      <c r="B1" s="60"/>
      <c r="C1" s="60"/>
      <c r="D1" s="60"/>
      <c r="E1" s="60"/>
      <c r="F1" s="60"/>
      <c r="G1" s="60"/>
      <c r="I1" s="70" t="s">
        <v>1272</v>
      </c>
      <c r="J1" s="71" t="n">
        <f aca="false">IFERROR((COUNTIF(D3:D38,"Yes")+0.5*COUNTIF(D3:D38,"Partial"))/(COUNTA(D3:D38)-COUNTIF(D3:D38,"N/A")),0)</f>
        <v>0</v>
      </c>
    </row>
    <row r="2" customFormat="false" ht="25.5" hidden="false" customHeight="true" outlineLevel="0" collapsed="false">
      <c r="A2" s="61" t="s">
        <v>88</v>
      </c>
      <c r="B2" s="61" t="s">
        <v>1299</v>
      </c>
      <c r="C2" s="61" t="s">
        <v>957</v>
      </c>
      <c r="D2" s="61" t="s">
        <v>960</v>
      </c>
      <c r="E2" s="61" t="s">
        <v>961</v>
      </c>
      <c r="F2" s="61" t="s">
        <v>209</v>
      </c>
      <c r="G2" s="61" t="s">
        <v>962</v>
      </c>
    </row>
    <row r="3" customFormat="false" ht="23.25" hidden="false" customHeight="true" outlineLevel="0" collapsed="false">
      <c r="A3" s="66" t="n">
        <v>1</v>
      </c>
      <c r="B3" s="8" t="s">
        <v>1321</v>
      </c>
      <c r="C3" s="8" t="s">
        <v>1322</v>
      </c>
      <c r="D3" s="66"/>
      <c r="E3" s="8"/>
      <c r="F3" s="66"/>
      <c r="G3" s="8"/>
    </row>
    <row r="4" customFormat="false" ht="23.25" hidden="false" customHeight="true" outlineLevel="0" collapsed="false">
      <c r="A4" s="66" t="n">
        <v>2</v>
      </c>
      <c r="B4" s="8" t="s">
        <v>1323</v>
      </c>
      <c r="C4" s="8" t="s">
        <v>1324</v>
      </c>
      <c r="D4" s="66"/>
      <c r="E4" s="8"/>
      <c r="F4" s="66"/>
      <c r="G4" s="8"/>
    </row>
    <row r="5" customFormat="false" ht="23.25" hidden="false" customHeight="true" outlineLevel="0" collapsed="false">
      <c r="A5" s="66" t="n">
        <v>3</v>
      </c>
      <c r="B5" s="8" t="s">
        <v>1325</v>
      </c>
      <c r="C5" s="8" t="s">
        <v>1326</v>
      </c>
      <c r="D5" s="66"/>
      <c r="E5" s="8"/>
      <c r="F5" s="66"/>
      <c r="G5" s="8"/>
    </row>
    <row r="6" customFormat="false" ht="23.25" hidden="false" customHeight="true" outlineLevel="0" collapsed="false">
      <c r="A6" s="66" t="n">
        <v>4</v>
      </c>
      <c r="B6" s="8" t="s">
        <v>1327</v>
      </c>
      <c r="C6" s="8" t="s">
        <v>1328</v>
      </c>
      <c r="D6" s="66"/>
      <c r="E6" s="8"/>
      <c r="F6" s="66"/>
      <c r="G6" s="8"/>
    </row>
    <row r="7" customFormat="false" ht="23.25" hidden="false" customHeight="true" outlineLevel="0" collapsed="false">
      <c r="A7" s="66" t="n">
        <v>5</v>
      </c>
      <c r="B7" s="8" t="s">
        <v>1329</v>
      </c>
      <c r="C7" s="8" t="s">
        <v>1330</v>
      </c>
      <c r="D7" s="66"/>
      <c r="E7" s="8"/>
      <c r="F7" s="66"/>
      <c r="G7" s="8"/>
    </row>
    <row r="8" customFormat="false" ht="34.5" hidden="false" customHeight="true" outlineLevel="0" collapsed="false">
      <c r="A8" s="66" t="n">
        <v>6</v>
      </c>
      <c r="B8" s="8" t="s">
        <v>1331</v>
      </c>
      <c r="C8" s="8" t="s">
        <v>1332</v>
      </c>
      <c r="D8" s="66"/>
      <c r="E8" s="8"/>
      <c r="F8" s="66"/>
      <c r="G8" s="8"/>
    </row>
    <row r="9" customFormat="false" ht="23.25" hidden="false" customHeight="true" outlineLevel="0" collapsed="false">
      <c r="A9" s="66" t="n">
        <v>7</v>
      </c>
      <c r="B9" s="8" t="s">
        <v>1333</v>
      </c>
      <c r="C9" s="8" t="s">
        <v>1334</v>
      </c>
      <c r="D9" s="66"/>
      <c r="E9" s="8"/>
      <c r="F9" s="66"/>
      <c r="G9" s="8"/>
    </row>
    <row r="10" customFormat="false" ht="34.5" hidden="false" customHeight="true" outlineLevel="0" collapsed="false">
      <c r="A10" s="66" t="n">
        <v>8</v>
      </c>
      <c r="B10" s="8" t="s">
        <v>1335</v>
      </c>
      <c r="C10" s="8" t="s">
        <v>1336</v>
      </c>
      <c r="D10" s="66"/>
      <c r="E10" s="8"/>
      <c r="F10" s="66"/>
      <c r="G10" s="8"/>
    </row>
    <row r="11" customFormat="false" ht="34.5" hidden="false" customHeight="true" outlineLevel="0" collapsed="false">
      <c r="A11" s="66" t="n">
        <v>9</v>
      </c>
      <c r="B11" s="8" t="s">
        <v>1337</v>
      </c>
      <c r="C11" s="8" t="s">
        <v>1338</v>
      </c>
      <c r="D11" s="66"/>
      <c r="E11" s="8"/>
      <c r="F11" s="66"/>
      <c r="G11" s="8"/>
    </row>
    <row r="12" customFormat="false" ht="23.25" hidden="false" customHeight="true" outlineLevel="0" collapsed="false">
      <c r="A12" s="66" t="n">
        <v>10</v>
      </c>
      <c r="B12" s="8" t="s">
        <v>1339</v>
      </c>
      <c r="C12" s="8" t="s">
        <v>1340</v>
      </c>
      <c r="D12" s="66"/>
      <c r="E12" s="8"/>
      <c r="F12" s="66"/>
      <c r="G12" s="8"/>
    </row>
    <row r="13" customFormat="false" ht="23.25" hidden="false" customHeight="true" outlineLevel="0" collapsed="false">
      <c r="A13" s="66" t="n">
        <v>11</v>
      </c>
      <c r="B13" s="8" t="s">
        <v>1341</v>
      </c>
      <c r="C13" s="8" t="s">
        <v>1342</v>
      </c>
      <c r="D13" s="66"/>
      <c r="E13" s="8"/>
      <c r="F13" s="66"/>
      <c r="G13" s="8"/>
    </row>
    <row r="14" customFormat="false" ht="23.25" hidden="false" customHeight="true" outlineLevel="0" collapsed="false">
      <c r="A14" s="66" t="n">
        <v>12</v>
      </c>
      <c r="B14" s="8" t="s">
        <v>1343</v>
      </c>
      <c r="C14" s="8" t="s">
        <v>1344</v>
      </c>
      <c r="D14" s="66"/>
      <c r="E14" s="8"/>
      <c r="F14" s="66"/>
      <c r="G14" s="8"/>
    </row>
    <row r="15" customFormat="false" ht="23.25" hidden="false" customHeight="true" outlineLevel="0" collapsed="false">
      <c r="A15" s="66" t="n">
        <v>13</v>
      </c>
      <c r="B15" s="8" t="s">
        <v>1345</v>
      </c>
      <c r="C15" s="8" t="s">
        <v>1346</v>
      </c>
      <c r="D15" s="66"/>
      <c r="E15" s="8"/>
      <c r="F15" s="66"/>
      <c r="G15" s="8"/>
    </row>
    <row r="16" customFormat="false" ht="23.25" hidden="false" customHeight="true" outlineLevel="0" collapsed="false">
      <c r="A16" s="66" t="n">
        <v>14</v>
      </c>
      <c r="B16" s="8" t="s">
        <v>1347</v>
      </c>
      <c r="C16" s="8" t="s">
        <v>1348</v>
      </c>
      <c r="D16" s="66"/>
      <c r="E16" s="8"/>
      <c r="F16" s="66"/>
      <c r="G16" s="8"/>
    </row>
    <row r="17" customFormat="false" ht="23.25" hidden="false" customHeight="true" outlineLevel="0" collapsed="false">
      <c r="A17" s="66" t="n">
        <v>15</v>
      </c>
      <c r="B17" s="8" t="s">
        <v>1349</v>
      </c>
      <c r="C17" s="8" t="s">
        <v>1350</v>
      </c>
      <c r="D17" s="66"/>
      <c r="E17" s="8"/>
      <c r="F17" s="66"/>
      <c r="G17" s="8"/>
    </row>
    <row r="18" customFormat="false" ht="23.25" hidden="false" customHeight="true" outlineLevel="0" collapsed="false">
      <c r="A18" s="66" t="n">
        <v>16</v>
      </c>
      <c r="B18" s="8" t="s">
        <v>1351</v>
      </c>
      <c r="C18" s="8" t="s">
        <v>1352</v>
      </c>
      <c r="D18" s="66"/>
      <c r="E18" s="8"/>
      <c r="F18" s="66"/>
      <c r="G18" s="8"/>
    </row>
    <row r="19" customFormat="false" ht="23.25" hidden="false" customHeight="true" outlineLevel="0" collapsed="false">
      <c r="A19" s="66" t="n">
        <v>17</v>
      </c>
      <c r="B19" s="8" t="s">
        <v>1353</v>
      </c>
      <c r="C19" s="8" t="s">
        <v>1354</v>
      </c>
      <c r="D19" s="66"/>
      <c r="E19" s="8"/>
      <c r="F19" s="66"/>
      <c r="G19" s="8"/>
    </row>
    <row r="20" customFormat="false" ht="23.25" hidden="false" customHeight="true" outlineLevel="0" collapsed="false">
      <c r="A20" s="66" t="n">
        <v>18</v>
      </c>
      <c r="B20" s="8" t="s">
        <v>1355</v>
      </c>
      <c r="C20" s="8" t="s">
        <v>1356</v>
      </c>
      <c r="D20" s="66"/>
      <c r="E20" s="8"/>
      <c r="F20" s="66"/>
      <c r="G20" s="8"/>
    </row>
    <row r="21" customFormat="false" ht="23.25" hidden="false" customHeight="true" outlineLevel="0" collapsed="false">
      <c r="A21" s="66" t="n">
        <v>19</v>
      </c>
      <c r="B21" s="8" t="s">
        <v>1357</v>
      </c>
      <c r="C21" s="8" t="s">
        <v>1358</v>
      </c>
      <c r="D21" s="66"/>
      <c r="E21" s="8"/>
      <c r="F21" s="66"/>
      <c r="G21" s="8"/>
    </row>
    <row r="22" customFormat="false" ht="23.25" hidden="false" customHeight="true" outlineLevel="0" collapsed="false">
      <c r="A22" s="66" t="n">
        <v>20</v>
      </c>
      <c r="B22" s="8" t="s">
        <v>1359</v>
      </c>
      <c r="C22" s="8" t="s">
        <v>1360</v>
      </c>
      <c r="D22" s="66"/>
      <c r="E22" s="8"/>
      <c r="F22" s="66"/>
      <c r="G22" s="8"/>
    </row>
    <row r="23" customFormat="false" ht="23.25" hidden="false" customHeight="true" outlineLevel="0" collapsed="false">
      <c r="A23" s="66" t="n">
        <v>21</v>
      </c>
      <c r="B23" s="8" t="s">
        <v>1361</v>
      </c>
      <c r="C23" s="8" t="s">
        <v>1362</v>
      </c>
      <c r="D23" s="66"/>
      <c r="E23" s="8"/>
      <c r="F23" s="66"/>
      <c r="G23" s="8"/>
    </row>
    <row r="24" customFormat="false" ht="23.25" hidden="false" customHeight="true" outlineLevel="0" collapsed="false">
      <c r="A24" s="66" t="n">
        <v>22</v>
      </c>
      <c r="B24" s="8" t="s">
        <v>1363</v>
      </c>
      <c r="C24" s="8" t="s">
        <v>1364</v>
      </c>
      <c r="D24" s="66"/>
      <c r="E24" s="8"/>
      <c r="F24" s="66"/>
      <c r="G24" s="8"/>
    </row>
    <row r="25" customFormat="false" ht="23.25" hidden="false" customHeight="true" outlineLevel="0" collapsed="false">
      <c r="A25" s="66" t="n">
        <v>23</v>
      </c>
      <c r="B25" s="8" t="s">
        <v>1365</v>
      </c>
      <c r="C25" s="8" t="s">
        <v>1366</v>
      </c>
      <c r="D25" s="66"/>
      <c r="E25" s="8"/>
      <c r="F25" s="66"/>
      <c r="G25" s="8"/>
    </row>
    <row r="26" customFormat="false" ht="23.25" hidden="false" customHeight="true" outlineLevel="0" collapsed="false">
      <c r="A26" s="66" t="n">
        <v>24</v>
      </c>
      <c r="B26" s="8" t="s">
        <v>1367</v>
      </c>
      <c r="C26" s="8" t="s">
        <v>1368</v>
      </c>
      <c r="D26" s="66"/>
      <c r="E26" s="8"/>
      <c r="F26" s="66"/>
      <c r="G26" s="8"/>
    </row>
    <row r="27" customFormat="false" ht="23.25" hidden="false" customHeight="true" outlineLevel="0" collapsed="false">
      <c r="A27" s="66" t="n">
        <v>25</v>
      </c>
      <c r="B27" s="8" t="s">
        <v>1369</v>
      </c>
      <c r="C27" s="8" t="s">
        <v>1370</v>
      </c>
      <c r="D27" s="66"/>
      <c r="E27" s="8"/>
      <c r="F27" s="66"/>
      <c r="G27" s="8"/>
    </row>
    <row r="28" customFormat="false" ht="23.25" hidden="false" customHeight="true" outlineLevel="0" collapsed="false">
      <c r="A28" s="66" t="n">
        <v>26</v>
      </c>
      <c r="B28" s="8" t="s">
        <v>1371</v>
      </c>
      <c r="C28" s="8" t="s">
        <v>1372</v>
      </c>
      <c r="D28" s="66"/>
      <c r="E28" s="8"/>
      <c r="F28" s="66"/>
      <c r="G28" s="8"/>
    </row>
    <row r="29" customFormat="false" ht="23.25" hidden="false" customHeight="true" outlineLevel="0" collapsed="false">
      <c r="A29" s="66" t="n">
        <v>27</v>
      </c>
      <c r="B29" s="8" t="s">
        <v>1373</v>
      </c>
      <c r="C29" s="8" t="s">
        <v>1374</v>
      </c>
      <c r="D29" s="66"/>
      <c r="E29" s="8"/>
      <c r="F29" s="66"/>
      <c r="G29" s="8"/>
    </row>
    <row r="30" customFormat="false" ht="23.25" hidden="false" customHeight="true" outlineLevel="0" collapsed="false">
      <c r="A30" s="66" t="n">
        <v>28</v>
      </c>
      <c r="B30" s="8" t="s">
        <v>1375</v>
      </c>
      <c r="C30" s="8" t="s">
        <v>1376</v>
      </c>
      <c r="D30" s="66"/>
      <c r="E30" s="8"/>
      <c r="F30" s="66"/>
      <c r="G30" s="8"/>
    </row>
    <row r="31" customFormat="false" ht="23.25" hidden="false" customHeight="true" outlineLevel="0" collapsed="false">
      <c r="A31" s="66" t="n">
        <v>29</v>
      </c>
      <c r="B31" s="8" t="s">
        <v>1377</v>
      </c>
      <c r="C31" s="8" t="s">
        <v>1378</v>
      </c>
      <c r="D31" s="66"/>
      <c r="E31" s="8"/>
      <c r="F31" s="66"/>
      <c r="G31" s="8"/>
    </row>
    <row r="32" customFormat="false" ht="23.25" hidden="false" customHeight="true" outlineLevel="0" collapsed="false">
      <c r="A32" s="66" t="n">
        <v>30</v>
      </c>
      <c r="B32" s="8" t="s">
        <v>1379</v>
      </c>
      <c r="C32" s="8" t="s">
        <v>1380</v>
      </c>
      <c r="D32" s="66"/>
      <c r="E32" s="8"/>
      <c r="F32" s="66"/>
      <c r="G32" s="8"/>
    </row>
    <row r="33" customFormat="false" ht="23.25" hidden="false" customHeight="true" outlineLevel="0" collapsed="false">
      <c r="A33" s="66" t="n">
        <v>31</v>
      </c>
      <c r="B33" s="8" t="s">
        <v>1381</v>
      </c>
      <c r="C33" s="8" t="s">
        <v>1382</v>
      </c>
      <c r="D33" s="66"/>
      <c r="E33" s="8"/>
      <c r="F33" s="66"/>
      <c r="G33" s="8"/>
    </row>
    <row r="34" customFormat="false" ht="23.25" hidden="false" customHeight="true" outlineLevel="0" collapsed="false">
      <c r="A34" s="66" t="n">
        <v>32</v>
      </c>
      <c r="B34" s="8" t="s">
        <v>1383</v>
      </c>
      <c r="C34" s="8" t="s">
        <v>1384</v>
      </c>
      <c r="D34" s="66"/>
      <c r="E34" s="8"/>
      <c r="F34" s="66"/>
      <c r="G34" s="8"/>
    </row>
    <row r="35" customFormat="false" ht="23.25" hidden="false" customHeight="true" outlineLevel="0" collapsed="false">
      <c r="A35" s="66" t="n">
        <v>33</v>
      </c>
      <c r="B35" s="8" t="s">
        <v>1385</v>
      </c>
      <c r="C35" s="8" t="s">
        <v>1386</v>
      </c>
      <c r="D35" s="66"/>
      <c r="E35" s="8"/>
      <c r="F35" s="66"/>
      <c r="G35" s="8"/>
    </row>
    <row r="36" customFormat="false" ht="23.25" hidden="false" customHeight="true" outlineLevel="0" collapsed="false">
      <c r="A36" s="66" t="n">
        <v>34</v>
      </c>
      <c r="B36" s="8" t="s">
        <v>1387</v>
      </c>
      <c r="C36" s="8" t="s">
        <v>1388</v>
      </c>
      <c r="D36" s="66"/>
      <c r="E36" s="8"/>
      <c r="F36" s="66"/>
      <c r="G36" s="8"/>
    </row>
    <row r="37" customFormat="false" ht="23.25" hidden="false" customHeight="true" outlineLevel="0" collapsed="false">
      <c r="A37" s="66" t="n">
        <v>35</v>
      </c>
      <c r="B37" s="8" t="s">
        <v>1389</v>
      </c>
      <c r="C37" s="8" t="s">
        <v>1390</v>
      </c>
      <c r="D37" s="66"/>
      <c r="E37" s="8"/>
      <c r="F37" s="66"/>
      <c r="G37" s="8"/>
    </row>
    <row r="38" customFormat="false" ht="23.25" hidden="false" customHeight="true" outlineLevel="0" collapsed="false">
      <c r="A38" s="66" t="n">
        <v>36</v>
      </c>
      <c r="B38" s="8" t="s">
        <v>1391</v>
      </c>
      <c r="C38" s="8" t="s">
        <v>1392</v>
      </c>
      <c r="D38" s="66"/>
      <c r="E38" s="8"/>
      <c r="F38" s="66"/>
      <c r="G38" s="8"/>
    </row>
    <row r="40" customFormat="false" ht="15" hidden="false" customHeight="true" outlineLevel="0" collapsed="false">
      <c r="A40" s="58" t="s">
        <v>1393</v>
      </c>
      <c r="B40" s="58"/>
      <c r="C40" s="58"/>
      <c r="D40" s="58"/>
      <c r="E40" s="58"/>
      <c r="F40" s="58"/>
      <c r="G40" s="58"/>
    </row>
  </sheetData>
  <mergeCells count="2">
    <mergeCell ref="A1:G1"/>
    <mergeCell ref="A40:G40"/>
  </mergeCells>
  <conditionalFormatting sqref="D3:D38">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38"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1394</v>
      </c>
      <c r="B1" s="60"/>
      <c r="C1" s="60"/>
      <c r="D1" s="60"/>
      <c r="E1" s="60"/>
      <c r="F1" s="60"/>
      <c r="G1" s="60"/>
      <c r="I1" s="70" t="s">
        <v>1272</v>
      </c>
      <c r="J1" s="71" t="n">
        <f aca="false">IFERROR((COUNTIF(D3:D20,"Yes")+0.5*COUNTIF(D3:D20,"Partial"))/(COUNTA(D3:D20)-COUNTIF(D3:D20,"N/A")),0)</f>
        <v>0</v>
      </c>
    </row>
    <row r="2" customFormat="false" ht="25.5" hidden="false" customHeight="true" outlineLevel="0" collapsed="false">
      <c r="A2" s="61" t="s">
        <v>88</v>
      </c>
      <c r="B2" s="61" t="s">
        <v>199</v>
      </c>
      <c r="C2" s="61" t="s">
        <v>1395</v>
      </c>
      <c r="D2" s="61" t="s">
        <v>960</v>
      </c>
      <c r="E2" s="61" t="s">
        <v>961</v>
      </c>
      <c r="F2" s="61" t="s">
        <v>209</v>
      </c>
      <c r="G2" s="61" t="s">
        <v>1275</v>
      </c>
    </row>
    <row r="3" customFormat="false" ht="15" hidden="false" customHeight="true" outlineLevel="0" collapsed="false">
      <c r="A3" s="66" t="n">
        <v>1</v>
      </c>
      <c r="B3" s="8" t="s">
        <v>1396</v>
      </c>
      <c r="C3" s="8" t="s">
        <v>1397</v>
      </c>
      <c r="D3" s="66"/>
      <c r="E3" s="8"/>
      <c r="F3" s="66"/>
      <c r="G3" s="8"/>
    </row>
    <row r="4" customFormat="false" ht="15" hidden="false" customHeight="true" outlineLevel="0" collapsed="false">
      <c r="A4" s="66" t="n">
        <v>2</v>
      </c>
      <c r="B4" s="8" t="s">
        <v>1396</v>
      </c>
      <c r="C4" s="8" t="s">
        <v>1398</v>
      </c>
      <c r="D4" s="66"/>
      <c r="E4" s="8"/>
      <c r="F4" s="66"/>
      <c r="G4" s="8"/>
    </row>
    <row r="5" customFormat="false" ht="23.25" hidden="false" customHeight="true" outlineLevel="0" collapsed="false">
      <c r="A5" s="66" t="n">
        <v>3</v>
      </c>
      <c r="B5" s="8" t="s">
        <v>1396</v>
      </c>
      <c r="C5" s="8" t="s">
        <v>1399</v>
      </c>
      <c r="D5" s="66"/>
      <c r="E5" s="8"/>
      <c r="F5" s="66"/>
      <c r="G5" s="8"/>
    </row>
    <row r="6" customFormat="false" ht="23.25" hidden="false" customHeight="true" outlineLevel="0" collapsed="false">
      <c r="A6" s="66" t="n">
        <v>4</v>
      </c>
      <c r="B6" s="8" t="s">
        <v>1396</v>
      </c>
      <c r="C6" s="8" t="s">
        <v>1400</v>
      </c>
      <c r="D6" s="66"/>
      <c r="E6" s="8"/>
      <c r="F6" s="66"/>
      <c r="G6" s="8"/>
    </row>
    <row r="7" customFormat="false" ht="23.25" hidden="false" customHeight="true" outlineLevel="0" collapsed="false">
      <c r="A7" s="66" t="n">
        <v>5</v>
      </c>
      <c r="B7" s="8" t="s">
        <v>1401</v>
      </c>
      <c r="C7" s="8" t="s">
        <v>1402</v>
      </c>
      <c r="D7" s="66"/>
      <c r="E7" s="8"/>
      <c r="F7" s="66"/>
      <c r="G7" s="8"/>
    </row>
    <row r="8" customFormat="false" ht="15" hidden="false" customHeight="true" outlineLevel="0" collapsed="false">
      <c r="A8" s="66" t="n">
        <v>6</v>
      </c>
      <c r="B8" s="8" t="s">
        <v>1401</v>
      </c>
      <c r="C8" s="8" t="s">
        <v>1403</v>
      </c>
      <c r="D8" s="66"/>
      <c r="E8" s="8"/>
      <c r="F8" s="66"/>
      <c r="G8" s="8"/>
    </row>
    <row r="9" customFormat="false" ht="23.25" hidden="false" customHeight="true" outlineLevel="0" collapsed="false">
      <c r="A9" s="66" t="n">
        <v>7</v>
      </c>
      <c r="B9" s="8" t="s">
        <v>1401</v>
      </c>
      <c r="C9" s="8" t="s">
        <v>1404</v>
      </c>
      <c r="D9" s="66"/>
      <c r="E9" s="8"/>
      <c r="F9" s="66"/>
      <c r="G9" s="8"/>
    </row>
    <row r="10" customFormat="false" ht="23.25" hidden="false" customHeight="true" outlineLevel="0" collapsed="false">
      <c r="A10" s="66" t="n">
        <v>8</v>
      </c>
      <c r="B10" s="8" t="s">
        <v>1405</v>
      </c>
      <c r="C10" s="8" t="s">
        <v>1406</v>
      </c>
      <c r="D10" s="66"/>
      <c r="E10" s="8"/>
      <c r="F10" s="66"/>
      <c r="G10" s="8"/>
    </row>
    <row r="11" customFormat="false" ht="15" hidden="false" customHeight="true" outlineLevel="0" collapsed="false">
      <c r="A11" s="66" t="n">
        <v>9</v>
      </c>
      <c r="B11" s="8" t="s">
        <v>1405</v>
      </c>
      <c r="C11" s="8" t="s">
        <v>1407</v>
      </c>
      <c r="D11" s="66"/>
      <c r="E11" s="8"/>
      <c r="F11" s="66"/>
      <c r="G11" s="8"/>
    </row>
    <row r="12" customFormat="false" ht="23.25" hidden="false" customHeight="true" outlineLevel="0" collapsed="false">
      <c r="A12" s="66" t="n">
        <v>10</v>
      </c>
      <c r="B12" s="8" t="s">
        <v>1405</v>
      </c>
      <c r="C12" s="8" t="s">
        <v>1408</v>
      </c>
      <c r="D12" s="66"/>
      <c r="E12" s="8"/>
      <c r="F12" s="66"/>
      <c r="G12" s="8"/>
    </row>
    <row r="13" customFormat="false" ht="23.25" hidden="false" customHeight="true" outlineLevel="0" collapsed="false">
      <c r="A13" s="66" t="n">
        <v>11</v>
      </c>
      <c r="B13" s="8" t="s">
        <v>1409</v>
      </c>
      <c r="C13" s="8" t="s">
        <v>1410</v>
      </c>
      <c r="D13" s="66"/>
      <c r="E13" s="8"/>
      <c r="F13" s="66"/>
      <c r="G13" s="8"/>
    </row>
    <row r="14" customFormat="false" ht="23.25" hidden="false" customHeight="true" outlineLevel="0" collapsed="false">
      <c r="A14" s="66" t="n">
        <v>12</v>
      </c>
      <c r="B14" s="8" t="s">
        <v>1409</v>
      </c>
      <c r="C14" s="8" t="s">
        <v>1411</v>
      </c>
      <c r="D14" s="66"/>
      <c r="E14" s="8"/>
      <c r="F14" s="66"/>
      <c r="G14" s="8"/>
    </row>
    <row r="15" customFormat="false" ht="23.25" hidden="false" customHeight="true" outlineLevel="0" collapsed="false">
      <c r="A15" s="66" t="n">
        <v>13</v>
      </c>
      <c r="B15" s="8" t="s">
        <v>1412</v>
      </c>
      <c r="C15" s="8" t="s">
        <v>1413</v>
      </c>
      <c r="D15" s="66"/>
      <c r="E15" s="8"/>
      <c r="F15" s="66"/>
      <c r="G15" s="8"/>
    </row>
    <row r="16" customFormat="false" ht="23.25" hidden="false" customHeight="true" outlineLevel="0" collapsed="false">
      <c r="A16" s="66" t="n">
        <v>14</v>
      </c>
      <c r="B16" s="8" t="s">
        <v>1412</v>
      </c>
      <c r="C16" s="8" t="s">
        <v>1414</v>
      </c>
      <c r="D16" s="66"/>
      <c r="E16" s="8"/>
      <c r="F16" s="66"/>
      <c r="G16" s="8"/>
    </row>
    <row r="17" customFormat="false" ht="15" hidden="false" customHeight="true" outlineLevel="0" collapsed="false">
      <c r="A17" s="66" t="n">
        <v>15</v>
      </c>
      <c r="B17" s="8" t="s">
        <v>1412</v>
      </c>
      <c r="C17" s="8" t="s">
        <v>1415</v>
      </c>
      <c r="D17" s="66"/>
      <c r="E17" s="8"/>
      <c r="F17" s="66"/>
      <c r="G17" s="8"/>
    </row>
    <row r="18" customFormat="false" ht="15" hidden="false" customHeight="true" outlineLevel="0" collapsed="false">
      <c r="A18" s="66" t="n">
        <v>16</v>
      </c>
      <c r="B18" s="8" t="s">
        <v>1412</v>
      </c>
      <c r="C18" s="8" t="s">
        <v>1416</v>
      </c>
      <c r="D18" s="66"/>
      <c r="E18" s="8"/>
      <c r="F18" s="66"/>
      <c r="G18" s="8"/>
    </row>
    <row r="19" customFormat="false" ht="15" hidden="false" customHeight="true" outlineLevel="0" collapsed="false">
      <c r="A19" s="66" t="n">
        <v>17</v>
      </c>
      <c r="B19" s="8" t="s">
        <v>1417</v>
      </c>
      <c r="C19" s="8" t="s">
        <v>1418</v>
      </c>
      <c r="D19" s="66"/>
      <c r="E19" s="8"/>
      <c r="F19" s="66"/>
      <c r="G19" s="8"/>
    </row>
    <row r="20" customFormat="false" ht="15" hidden="false" customHeight="true" outlineLevel="0" collapsed="false">
      <c r="A20" s="66" t="n">
        <v>18</v>
      </c>
      <c r="B20" s="8" t="s">
        <v>1417</v>
      </c>
      <c r="C20" s="8" t="s">
        <v>1419</v>
      </c>
      <c r="D20" s="66"/>
      <c r="E20" s="8"/>
      <c r="F20" s="66"/>
      <c r="G20" s="8"/>
    </row>
    <row r="22" customFormat="false" ht="15" hidden="false" customHeight="true" outlineLevel="0" collapsed="false">
      <c r="A22" s="58" t="s">
        <v>1420</v>
      </c>
      <c r="B22" s="58"/>
      <c r="C22" s="58"/>
      <c r="D22" s="58"/>
      <c r="E22" s="58"/>
      <c r="F22" s="58"/>
      <c r="G22" s="58"/>
    </row>
  </sheetData>
  <mergeCells count="2">
    <mergeCell ref="A1:G1"/>
    <mergeCell ref="A22:G22"/>
  </mergeCells>
  <conditionalFormatting sqref="D3:D20">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20"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1421</v>
      </c>
      <c r="B1" s="60"/>
      <c r="C1" s="60"/>
      <c r="D1" s="60"/>
      <c r="E1" s="60"/>
      <c r="F1" s="60"/>
      <c r="G1" s="60"/>
      <c r="I1" s="70" t="s">
        <v>1272</v>
      </c>
      <c r="J1" s="71" t="n">
        <f aca="false">IFERROR((COUNTIF(D3:D17,"Yes")+0.5*COUNTIF(D3:D17,"Partial"))/(COUNTA(D3:D17)-COUNTIF(D3:D17,"N/A")),0)</f>
        <v>0</v>
      </c>
    </row>
    <row r="2" customFormat="false" ht="25.5" hidden="false" customHeight="true" outlineLevel="0" collapsed="false">
      <c r="A2" s="61" t="s">
        <v>88</v>
      </c>
      <c r="B2" s="61" t="s">
        <v>1422</v>
      </c>
      <c r="C2" s="61" t="s">
        <v>957</v>
      </c>
      <c r="D2" s="61" t="s">
        <v>960</v>
      </c>
      <c r="E2" s="61" t="s">
        <v>961</v>
      </c>
      <c r="F2" s="61" t="s">
        <v>209</v>
      </c>
      <c r="G2" s="61" t="s">
        <v>962</v>
      </c>
    </row>
    <row r="3" customFormat="false" ht="34.5" hidden="false" customHeight="true" outlineLevel="0" collapsed="false">
      <c r="A3" s="66" t="n">
        <v>1</v>
      </c>
      <c r="B3" s="8" t="s">
        <v>1423</v>
      </c>
      <c r="C3" s="8" t="s">
        <v>1424</v>
      </c>
      <c r="D3" s="66"/>
      <c r="E3" s="8"/>
      <c r="F3" s="66"/>
      <c r="G3" s="8"/>
    </row>
    <row r="4" customFormat="false" ht="15" hidden="false" customHeight="true" outlineLevel="0" collapsed="false">
      <c r="A4" s="66" t="n">
        <v>2</v>
      </c>
      <c r="B4" s="8" t="s">
        <v>1423</v>
      </c>
      <c r="C4" s="8" t="s">
        <v>1425</v>
      </c>
      <c r="D4" s="66"/>
      <c r="E4" s="8"/>
      <c r="F4" s="66"/>
      <c r="G4" s="8"/>
    </row>
    <row r="5" customFormat="false" ht="23.25" hidden="false" customHeight="true" outlineLevel="0" collapsed="false">
      <c r="A5" s="66" t="n">
        <v>3</v>
      </c>
      <c r="B5" s="8" t="s">
        <v>1426</v>
      </c>
      <c r="C5" s="8" t="s">
        <v>1427</v>
      </c>
      <c r="D5" s="66"/>
      <c r="E5" s="8"/>
      <c r="F5" s="66"/>
      <c r="G5" s="8"/>
    </row>
    <row r="6" customFormat="false" ht="23.25" hidden="false" customHeight="true" outlineLevel="0" collapsed="false">
      <c r="A6" s="66" t="n">
        <v>4</v>
      </c>
      <c r="B6" s="8" t="s">
        <v>1426</v>
      </c>
      <c r="C6" s="8" t="s">
        <v>1428</v>
      </c>
      <c r="D6" s="66"/>
      <c r="E6" s="8"/>
      <c r="F6" s="66"/>
      <c r="G6" s="8"/>
    </row>
    <row r="7" customFormat="false" ht="23.25" hidden="false" customHeight="true" outlineLevel="0" collapsed="false">
      <c r="A7" s="66" t="n">
        <v>5</v>
      </c>
      <c r="B7" s="8" t="s">
        <v>1429</v>
      </c>
      <c r="C7" s="8" t="s">
        <v>1430</v>
      </c>
      <c r="D7" s="66"/>
      <c r="E7" s="8"/>
      <c r="F7" s="66"/>
      <c r="G7" s="8"/>
    </row>
    <row r="8" customFormat="false" ht="23.25" hidden="false" customHeight="true" outlineLevel="0" collapsed="false">
      <c r="A8" s="66" t="n">
        <v>6</v>
      </c>
      <c r="B8" s="8" t="s">
        <v>1431</v>
      </c>
      <c r="C8" s="8" t="s">
        <v>1432</v>
      </c>
      <c r="D8" s="66"/>
      <c r="E8" s="8"/>
      <c r="F8" s="66"/>
      <c r="G8" s="8"/>
    </row>
    <row r="9" customFormat="false" ht="23.25" hidden="false" customHeight="true" outlineLevel="0" collapsed="false">
      <c r="A9" s="66" t="n">
        <v>7</v>
      </c>
      <c r="B9" s="8" t="s">
        <v>1431</v>
      </c>
      <c r="C9" s="8" t="s">
        <v>1433</v>
      </c>
      <c r="D9" s="66"/>
      <c r="E9" s="8"/>
      <c r="F9" s="66"/>
      <c r="G9" s="8"/>
    </row>
    <row r="10" customFormat="false" ht="23.25" hidden="false" customHeight="true" outlineLevel="0" collapsed="false">
      <c r="A10" s="66" t="n">
        <v>8</v>
      </c>
      <c r="B10" s="8" t="s">
        <v>1434</v>
      </c>
      <c r="C10" s="8" t="s">
        <v>1435</v>
      </c>
      <c r="D10" s="66"/>
      <c r="E10" s="8"/>
      <c r="F10" s="66"/>
      <c r="G10" s="8"/>
    </row>
    <row r="11" customFormat="false" ht="23.25" hidden="false" customHeight="true" outlineLevel="0" collapsed="false">
      <c r="A11" s="66" t="n">
        <v>9</v>
      </c>
      <c r="B11" s="8" t="s">
        <v>1434</v>
      </c>
      <c r="C11" s="8" t="s">
        <v>1436</v>
      </c>
      <c r="D11" s="66"/>
      <c r="E11" s="8"/>
      <c r="F11" s="66"/>
      <c r="G11" s="8"/>
    </row>
    <row r="12" customFormat="false" ht="23.25" hidden="false" customHeight="true" outlineLevel="0" collapsed="false">
      <c r="A12" s="66" t="n">
        <v>10</v>
      </c>
      <c r="B12" s="8" t="s">
        <v>1437</v>
      </c>
      <c r="C12" s="8" t="s">
        <v>1438</v>
      </c>
      <c r="D12" s="66"/>
      <c r="E12" s="8"/>
      <c r="F12" s="66"/>
      <c r="G12" s="8"/>
    </row>
    <row r="13" customFormat="false" ht="23.25" hidden="false" customHeight="true" outlineLevel="0" collapsed="false">
      <c r="A13" s="66" t="n">
        <v>11</v>
      </c>
      <c r="B13" s="8" t="s">
        <v>1439</v>
      </c>
      <c r="C13" s="8" t="s">
        <v>1440</v>
      </c>
      <c r="D13" s="66"/>
      <c r="E13" s="8"/>
      <c r="F13" s="66"/>
      <c r="G13" s="8"/>
    </row>
    <row r="14" customFormat="false" ht="23.25" hidden="false" customHeight="true" outlineLevel="0" collapsed="false">
      <c r="A14" s="66" t="n">
        <v>12</v>
      </c>
      <c r="B14" s="8" t="s">
        <v>1441</v>
      </c>
      <c r="C14" s="8" t="s">
        <v>1442</v>
      </c>
      <c r="D14" s="66"/>
      <c r="E14" s="8"/>
      <c r="F14" s="66"/>
      <c r="G14" s="8"/>
    </row>
    <row r="15" customFormat="false" ht="23.25" hidden="false" customHeight="true" outlineLevel="0" collapsed="false">
      <c r="A15" s="66" t="n">
        <v>13</v>
      </c>
      <c r="B15" s="8" t="s">
        <v>1443</v>
      </c>
      <c r="C15" s="8" t="s">
        <v>1444</v>
      </c>
      <c r="D15" s="66"/>
      <c r="E15" s="8"/>
      <c r="F15" s="66"/>
      <c r="G15" s="8"/>
    </row>
    <row r="16" customFormat="false" ht="23.25" hidden="false" customHeight="true" outlineLevel="0" collapsed="false">
      <c r="A16" s="66" t="n">
        <v>14</v>
      </c>
      <c r="B16" s="8" t="s">
        <v>1445</v>
      </c>
      <c r="C16" s="8" t="s">
        <v>1446</v>
      </c>
      <c r="D16" s="66"/>
      <c r="E16" s="8"/>
      <c r="F16" s="66"/>
      <c r="G16" s="8"/>
    </row>
    <row r="17" customFormat="false" ht="23.25" hidden="false" customHeight="true" outlineLevel="0" collapsed="false">
      <c r="A17" s="66" t="n">
        <v>15</v>
      </c>
      <c r="B17" s="8" t="s">
        <v>1447</v>
      </c>
      <c r="C17" s="8" t="s">
        <v>1448</v>
      </c>
      <c r="D17" s="66"/>
      <c r="E17" s="8"/>
      <c r="F17" s="66"/>
      <c r="G17" s="8"/>
    </row>
  </sheetData>
  <mergeCells count="1">
    <mergeCell ref="A1:G1"/>
  </mergeCells>
  <conditionalFormatting sqref="D3:D17">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7"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1449</v>
      </c>
      <c r="B1" s="60"/>
      <c r="C1" s="60"/>
      <c r="D1" s="60"/>
      <c r="E1" s="60"/>
      <c r="F1" s="60"/>
      <c r="G1" s="60"/>
      <c r="I1" s="70" t="s">
        <v>1272</v>
      </c>
      <c r="J1" s="71" t="n">
        <f aca="false">IFERROR((COUNTIF(D3:D16,"Yes")+0.5*COUNTIF(D3:D16,"Partial"))/(COUNTA(D3:D16)-COUNTIF(D3:D16,"N/A")),0)</f>
        <v>0</v>
      </c>
    </row>
    <row r="2" customFormat="false" ht="25.5" hidden="false" customHeight="true" outlineLevel="0" collapsed="false">
      <c r="A2" s="61" t="s">
        <v>88</v>
      </c>
      <c r="B2" s="61" t="s">
        <v>1450</v>
      </c>
      <c r="C2" s="61" t="s">
        <v>957</v>
      </c>
      <c r="D2" s="61" t="s">
        <v>960</v>
      </c>
      <c r="E2" s="61" t="s">
        <v>961</v>
      </c>
      <c r="F2" s="61" t="s">
        <v>209</v>
      </c>
      <c r="G2" s="61" t="s">
        <v>962</v>
      </c>
    </row>
    <row r="3" customFormat="false" ht="23.25" hidden="false" customHeight="true" outlineLevel="0" collapsed="false">
      <c r="A3" s="66" t="n">
        <v>1</v>
      </c>
      <c r="B3" s="8" t="s">
        <v>1451</v>
      </c>
      <c r="C3" s="8" t="s">
        <v>1452</v>
      </c>
      <c r="D3" s="66"/>
      <c r="E3" s="8"/>
      <c r="F3" s="66"/>
      <c r="G3" s="8"/>
    </row>
    <row r="4" customFormat="false" ht="23.25" hidden="false" customHeight="true" outlineLevel="0" collapsed="false">
      <c r="A4" s="66" t="n">
        <v>2</v>
      </c>
      <c r="B4" s="8" t="s">
        <v>1453</v>
      </c>
      <c r="C4" s="8" t="s">
        <v>1454</v>
      </c>
      <c r="D4" s="66"/>
      <c r="E4" s="8"/>
      <c r="F4" s="66"/>
      <c r="G4" s="8"/>
    </row>
    <row r="5" customFormat="false" ht="23.25" hidden="false" customHeight="true" outlineLevel="0" collapsed="false">
      <c r="A5" s="66" t="n">
        <v>3</v>
      </c>
      <c r="B5" s="8" t="s">
        <v>1453</v>
      </c>
      <c r="C5" s="8" t="s">
        <v>1455</v>
      </c>
      <c r="D5" s="66"/>
      <c r="E5" s="8"/>
      <c r="F5" s="66"/>
      <c r="G5" s="8"/>
    </row>
    <row r="6" customFormat="false" ht="23.25" hidden="false" customHeight="true" outlineLevel="0" collapsed="false">
      <c r="A6" s="66" t="n">
        <v>4</v>
      </c>
      <c r="B6" s="8" t="s">
        <v>1456</v>
      </c>
      <c r="C6" s="8" t="s">
        <v>1457</v>
      </c>
      <c r="D6" s="66"/>
      <c r="E6" s="8"/>
      <c r="F6" s="66"/>
      <c r="G6" s="8"/>
    </row>
    <row r="7" customFormat="false" ht="23.25" hidden="false" customHeight="true" outlineLevel="0" collapsed="false">
      <c r="A7" s="66" t="n">
        <v>5</v>
      </c>
      <c r="B7" s="8" t="s">
        <v>1458</v>
      </c>
      <c r="C7" s="8" t="s">
        <v>1459</v>
      </c>
      <c r="D7" s="66"/>
      <c r="E7" s="8"/>
      <c r="F7" s="66"/>
      <c r="G7" s="8"/>
    </row>
    <row r="8" customFormat="false" ht="23.25" hidden="false" customHeight="true" outlineLevel="0" collapsed="false">
      <c r="A8" s="66" t="n">
        <v>6</v>
      </c>
      <c r="B8" s="8" t="s">
        <v>1460</v>
      </c>
      <c r="C8" s="8" t="s">
        <v>1461</v>
      </c>
      <c r="D8" s="66"/>
      <c r="E8" s="8"/>
      <c r="F8" s="66"/>
      <c r="G8" s="8"/>
    </row>
    <row r="9" customFormat="false" ht="34.5" hidden="false" customHeight="true" outlineLevel="0" collapsed="false">
      <c r="A9" s="66" t="n">
        <v>7</v>
      </c>
      <c r="B9" s="8" t="s">
        <v>1462</v>
      </c>
      <c r="C9" s="8" t="s">
        <v>1463</v>
      </c>
      <c r="D9" s="66"/>
      <c r="E9" s="8"/>
      <c r="F9" s="66"/>
      <c r="G9" s="8"/>
    </row>
    <row r="10" customFormat="false" ht="23.25" hidden="false" customHeight="true" outlineLevel="0" collapsed="false">
      <c r="A10" s="66" t="n">
        <v>8</v>
      </c>
      <c r="B10" s="8" t="s">
        <v>1464</v>
      </c>
      <c r="C10" s="8" t="s">
        <v>1465</v>
      </c>
      <c r="D10" s="66"/>
      <c r="E10" s="8"/>
      <c r="F10" s="66"/>
      <c r="G10" s="8"/>
    </row>
    <row r="11" customFormat="false" ht="23.25" hidden="false" customHeight="true" outlineLevel="0" collapsed="false">
      <c r="A11" s="66" t="n">
        <v>9</v>
      </c>
      <c r="B11" s="8" t="s">
        <v>1466</v>
      </c>
      <c r="C11" s="8" t="s">
        <v>1467</v>
      </c>
      <c r="D11" s="66"/>
      <c r="E11" s="8"/>
      <c r="F11" s="66"/>
      <c r="G11" s="8"/>
    </row>
    <row r="12" customFormat="false" ht="23.25" hidden="false" customHeight="true" outlineLevel="0" collapsed="false">
      <c r="A12" s="66" t="n">
        <v>10</v>
      </c>
      <c r="B12" s="8" t="s">
        <v>1468</v>
      </c>
      <c r="C12" s="8" t="s">
        <v>1469</v>
      </c>
      <c r="D12" s="66"/>
      <c r="E12" s="8"/>
      <c r="F12" s="66"/>
      <c r="G12" s="8"/>
    </row>
    <row r="13" customFormat="false" ht="23.25" hidden="false" customHeight="true" outlineLevel="0" collapsed="false">
      <c r="A13" s="66" t="n">
        <v>11</v>
      </c>
      <c r="B13" s="8" t="s">
        <v>1470</v>
      </c>
      <c r="C13" s="8" t="s">
        <v>1471</v>
      </c>
      <c r="D13" s="66"/>
      <c r="E13" s="8"/>
      <c r="F13" s="66"/>
      <c r="G13" s="8"/>
    </row>
    <row r="14" customFormat="false" ht="23.25" hidden="false" customHeight="true" outlineLevel="0" collapsed="false">
      <c r="A14" s="66" t="n">
        <v>12</v>
      </c>
      <c r="B14" s="8" t="s">
        <v>1472</v>
      </c>
      <c r="C14" s="8" t="s">
        <v>1473</v>
      </c>
      <c r="D14" s="66"/>
      <c r="E14" s="8"/>
      <c r="F14" s="66"/>
      <c r="G14" s="8"/>
    </row>
    <row r="15" customFormat="false" ht="23.25" hidden="false" customHeight="true" outlineLevel="0" collapsed="false">
      <c r="A15" s="66" t="n">
        <v>13</v>
      </c>
      <c r="B15" s="8" t="s">
        <v>1474</v>
      </c>
      <c r="C15" s="8" t="s">
        <v>1475</v>
      </c>
      <c r="D15" s="66"/>
      <c r="E15" s="8"/>
      <c r="F15" s="66"/>
      <c r="G15" s="8"/>
    </row>
    <row r="16" customFormat="false" ht="23.25" hidden="false" customHeight="true" outlineLevel="0" collapsed="false">
      <c r="A16" s="66" t="n">
        <v>14</v>
      </c>
      <c r="B16" s="8" t="s">
        <v>1476</v>
      </c>
      <c r="C16" s="8" t="s">
        <v>1477</v>
      </c>
      <c r="D16" s="66"/>
      <c r="E16" s="8"/>
      <c r="F16" s="66"/>
      <c r="G16" s="8"/>
    </row>
    <row r="18" customFormat="false" ht="15" hidden="false" customHeight="true" outlineLevel="0" collapsed="false">
      <c r="A18" s="58" t="s">
        <v>1478</v>
      </c>
      <c r="B18" s="58"/>
      <c r="C18" s="58"/>
      <c r="D18" s="58"/>
      <c r="E18" s="58"/>
      <c r="F18" s="58"/>
      <c r="G18" s="58"/>
    </row>
  </sheetData>
  <mergeCells count="2">
    <mergeCell ref="A1:G1"/>
    <mergeCell ref="A18:G18"/>
  </mergeCells>
  <conditionalFormatting sqref="D3:D16">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6"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1479</v>
      </c>
      <c r="B1" s="60"/>
      <c r="C1" s="60"/>
      <c r="D1" s="60"/>
      <c r="E1" s="60"/>
      <c r="F1" s="60"/>
      <c r="G1" s="60"/>
      <c r="I1" s="70" t="s">
        <v>1272</v>
      </c>
      <c r="J1" s="71" t="n">
        <f aca="false">IFERROR((COUNTIF(D3:D16,"Yes")+0.5*COUNTIF(D3:D16,"Partial"))/(COUNTA(D3:D16)-COUNTIF(D3:D16,"N/A")),0)</f>
        <v>0</v>
      </c>
    </row>
    <row r="2" customFormat="false" ht="25.5" hidden="false" customHeight="true" outlineLevel="0" collapsed="false">
      <c r="A2" s="61" t="s">
        <v>88</v>
      </c>
      <c r="B2" s="61" t="s">
        <v>1480</v>
      </c>
      <c r="C2" s="61" t="s">
        <v>957</v>
      </c>
      <c r="D2" s="61" t="s">
        <v>960</v>
      </c>
      <c r="E2" s="61" t="s">
        <v>961</v>
      </c>
      <c r="F2" s="61" t="s">
        <v>209</v>
      </c>
      <c r="G2" s="61" t="s">
        <v>962</v>
      </c>
    </row>
    <row r="3" customFormat="false" ht="23.25" hidden="false" customHeight="true" outlineLevel="0" collapsed="false">
      <c r="A3" s="66" t="n">
        <v>1</v>
      </c>
      <c r="B3" s="8" t="s">
        <v>1481</v>
      </c>
      <c r="C3" s="8" t="s">
        <v>1482</v>
      </c>
      <c r="D3" s="66"/>
      <c r="E3" s="8"/>
      <c r="F3" s="66"/>
      <c r="G3" s="8"/>
    </row>
    <row r="4" customFormat="false" ht="23.25" hidden="false" customHeight="true" outlineLevel="0" collapsed="false">
      <c r="A4" s="66" t="n">
        <v>2</v>
      </c>
      <c r="B4" s="8" t="s">
        <v>1481</v>
      </c>
      <c r="C4" s="8" t="s">
        <v>1483</v>
      </c>
      <c r="D4" s="66"/>
      <c r="E4" s="8"/>
      <c r="F4" s="66"/>
      <c r="G4" s="8"/>
    </row>
    <row r="5" customFormat="false" ht="23.25" hidden="false" customHeight="true" outlineLevel="0" collapsed="false">
      <c r="A5" s="66" t="n">
        <v>3</v>
      </c>
      <c r="B5" s="8" t="s">
        <v>963</v>
      </c>
      <c r="C5" s="8" t="s">
        <v>1484</v>
      </c>
      <c r="D5" s="66"/>
      <c r="E5" s="8"/>
      <c r="F5" s="66"/>
      <c r="G5" s="8"/>
    </row>
    <row r="6" customFormat="false" ht="23.25" hidden="false" customHeight="true" outlineLevel="0" collapsed="false">
      <c r="A6" s="66" t="n">
        <v>4</v>
      </c>
      <c r="B6" s="8" t="s">
        <v>963</v>
      </c>
      <c r="C6" s="8" t="s">
        <v>1485</v>
      </c>
      <c r="D6" s="66"/>
      <c r="E6" s="8"/>
      <c r="F6" s="66"/>
      <c r="G6" s="8"/>
    </row>
    <row r="7" customFormat="false" ht="23.25" hidden="false" customHeight="true" outlineLevel="0" collapsed="false">
      <c r="A7" s="66" t="n">
        <v>5</v>
      </c>
      <c r="B7" s="8" t="s">
        <v>248</v>
      </c>
      <c r="C7" s="8" t="s">
        <v>1486</v>
      </c>
      <c r="D7" s="66"/>
      <c r="E7" s="8"/>
      <c r="F7" s="66"/>
      <c r="G7" s="8"/>
    </row>
    <row r="8" customFormat="false" ht="23.25" hidden="false" customHeight="true" outlineLevel="0" collapsed="false">
      <c r="A8" s="66" t="n">
        <v>6</v>
      </c>
      <c r="B8" s="8" t="s">
        <v>248</v>
      </c>
      <c r="C8" s="8" t="s">
        <v>1487</v>
      </c>
      <c r="D8" s="66"/>
      <c r="E8" s="8"/>
      <c r="F8" s="66"/>
      <c r="G8" s="8"/>
    </row>
    <row r="9" customFormat="false" ht="23.25" hidden="false" customHeight="true" outlineLevel="0" collapsed="false">
      <c r="A9" s="66" t="n">
        <v>7</v>
      </c>
      <c r="B9" s="8" t="s">
        <v>254</v>
      </c>
      <c r="C9" s="8" t="s">
        <v>1488</v>
      </c>
      <c r="D9" s="66"/>
      <c r="E9" s="8"/>
      <c r="F9" s="66"/>
      <c r="G9" s="8"/>
    </row>
    <row r="10" customFormat="false" ht="23.25" hidden="false" customHeight="true" outlineLevel="0" collapsed="false">
      <c r="A10" s="66" t="n">
        <v>8</v>
      </c>
      <c r="B10" s="8" t="s">
        <v>254</v>
      </c>
      <c r="C10" s="8" t="s">
        <v>1489</v>
      </c>
      <c r="D10" s="66"/>
      <c r="E10" s="8"/>
      <c r="F10" s="66"/>
      <c r="G10" s="8"/>
    </row>
    <row r="11" customFormat="false" ht="15" hidden="false" customHeight="true" outlineLevel="0" collapsed="false">
      <c r="A11" s="66" t="n">
        <v>9</v>
      </c>
      <c r="B11" s="8" t="s">
        <v>254</v>
      </c>
      <c r="C11" s="8" t="s">
        <v>1490</v>
      </c>
      <c r="D11" s="66"/>
      <c r="E11" s="8"/>
      <c r="F11" s="66"/>
      <c r="G11" s="8"/>
    </row>
    <row r="12" customFormat="false" ht="23.25" hidden="false" customHeight="true" outlineLevel="0" collapsed="false">
      <c r="A12" s="66" t="n">
        <v>10</v>
      </c>
      <c r="B12" s="8" t="s">
        <v>265</v>
      </c>
      <c r="C12" s="8" t="s">
        <v>1491</v>
      </c>
      <c r="D12" s="66"/>
      <c r="E12" s="8"/>
      <c r="F12" s="66"/>
      <c r="G12" s="8"/>
    </row>
    <row r="13" customFormat="false" ht="15" hidden="false" customHeight="true" outlineLevel="0" collapsed="false">
      <c r="A13" s="66" t="n">
        <v>11</v>
      </c>
      <c r="B13" s="8" t="s">
        <v>265</v>
      </c>
      <c r="C13" s="8" t="s">
        <v>1492</v>
      </c>
      <c r="D13" s="66"/>
      <c r="E13" s="8"/>
      <c r="F13" s="66"/>
      <c r="G13" s="8"/>
    </row>
    <row r="14" customFormat="false" ht="23.25" hidden="false" customHeight="true" outlineLevel="0" collapsed="false">
      <c r="A14" s="66" t="n">
        <v>12</v>
      </c>
      <c r="B14" s="8" t="s">
        <v>1493</v>
      </c>
      <c r="C14" s="8" t="s">
        <v>1494</v>
      </c>
      <c r="D14" s="66"/>
      <c r="E14" s="8"/>
      <c r="F14" s="66"/>
      <c r="G14" s="8"/>
    </row>
    <row r="15" customFormat="false" ht="15" hidden="false" customHeight="true" outlineLevel="0" collapsed="false">
      <c r="A15" s="66" t="n">
        <v>13</v>
      </c>
      <c r="B15" s="8" t="s">
        <v>1493</v>
      </c>
      <c r="C15" s="8" t="s">
        <v>1495</v>
      </c>
      <c r="D15" s="66"/>
      <c r="E15" s="8"/>
      <c r="F15" s="66"/>
      <c r="G15" s="8"/>
    </row>
    <row r="16" customFormat="false" ht="23.25" hidden="false" customHeight="true" outlineLevel="0" collapsed="false">
      <c r="A16" s="66" t="n">
        <v>14</v>
      </c>
      <c r="B16" s="8" t="s">
        <v>287</v>
      </c>
      <c r="C16" s="8" t="s">
        <v>1496</v>
      </c>
      <c r="D16" s="66"/>
      <c r="E16" s="8"/>
      <c r="F16" s="66"/>
      <c r="G16" s="8"/>
    </row>
  </sheetData>
  <mergeCells count="1">
    <mergeCell ref="A1:G1"/>
  </mergeCells>
  <conditionalFormatting sqref="D3:D16">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6"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1497</v>
      </c>
      <c r="B1" s="60"/>
      <c r="C1" s="60"/>
      <c r="D1" s="60"/>
      <c r="E1" s="60"/>
      <c r="F1" s="60"/>
      <c r="G1" s="60"/>
      <c r="I1" s="70" t="s">
        <v>1272</v>
      </c>
      <c r="J1" s="71" t="n">
        <f aca="false">IFERROR((COUNTIF(D3:D16,"Yes")+0.5*COUNTIF(D3:D16,"Partial"))/(COUNTA(D3:D16)-COUNTIF(D3:D16,"N/A")),0)</f>
        <v>0</v>
      </c>
    </row>
    <row r="2" customFormat="false" ht="25.5" hidden="false" customHeight="true" outlineLevel="0" collapsed="false">
      <c r="A2" s="61" t="s">
        <v>88</v>
      </c>
      <c r="B2" s="61" t="s">
        <v>1498</v>
      </c>
      <c r="C2" s="61" t="s">
        <v>957</v>
      </c>
      <c r="D2" s="61" t="s">
        <v>960</v>
      </c>
      <c r="E2" s="61" t="s">
        <v>961</v>
      </c>
      <c r="F2" s="61" t="s">
        <v>209</v>
      </c>
      <c r="G2" s="61" t="s">
        <v>962</v>
      </c>
    </row>
    <row r="3" customFormat="false" ht="23.25" hidden="false" customHeight="true" outlineLevel="0" collapsed="false">
      <c r="A3" s="66" t="n">
        <v>1</v>
      </c>
      <c r="B3" s="8" t="s">
        <v>243</v>
      </c>
      <c r="C3" s="8" t="s">
        <v>1499</v>
      </c>
      <c r="D3" s="66"/>
      <c r="E3" s="8"/>
      <c r="F3" s="66"/>
      <c r="G3" s="8"/>
    </row>
    <row r="4" customFormat="false" ht="23.25" hidden="false" customHeight="true" outlineLevel="0" collapsed="false">
      <c r="A4" s="66" t="n">
        <v>2</v>
      </c>
      <c r="B4" s="8" t="s">
        <v>243</v>
      </c>
      <c r="C4" s="8" t="s">
        <v>1500</v>
      </c>
      <c r="D4" s="66"/>
      <c r="E4" s="8"/>
      <c r="F4" s="66"/>
      <c r="G4" s="8"/>
    </row>
    <row r="5" customFormat="false" ht="23.25" hidden="false" customHeight="true" outlineLevel="0" collapsed="false">
      <c r="A5" s="66" t="n">
        <v>3</v>
      </c>
      <c r="B5" s="8" t="s">
        <v>1501</v>
      </c>
      <c r="C5" s="8" t="s">
        <v>1502</v>
      </c>
      <c r="D5" s="66"/>
      <c r="E5" s="8"/>
      <c r="F5" s="66"/>
      <c r="G5" s="8"/>
    </row>
    <row r="6" customFormat="false" ht="23.25" hidden="false" customHeight="true" outlineLevel="0" collapsed="false">
      <c r="A6" s="66" t="n">
        <v>4</v>
      </c>
      <c r="B6" s="8" t="s">
        <v>1503</v>
      </c>
      <c r="C6" s="8" t="s">
        <v>1504</v>
      </c>
      <c r="D6" s="66"/>
      <c r="E6" s="8"/>
      <c r="F6" s="66"/>
      <c r="G6" s="8"/>
    </row>
    <row r="7" customFormat="false" ht="23.25" hidden="false" customHeight="true" outlineLevel="0" collapsed="false">
      <c r="A7" s="66" t="n">
        <v>5</v>
      </c>
      <c r="B7" s="8" t="s">
        <v>1505</v>
      </c>
      <c r="C7" s="8" t="s">
        <v>1506</v>
      </c>
      <c r="D7" s="66"/>
      <c r="E7" s="8"/>
      <c r="F7" s="66"/>
      <c r="G7" s="8"/>
    </row>
    <row r="8" customFormat="false" ht="23.25" hidden="false" customHeight="true" outlineLevel="0" collapsed="false">
      <c r="A8" s="66" t="n">
        <v>6</v>
      </c>
      <c r="B8" s="8" t="s">
        <v>1507</v>
      </c>
      <c r="C8" s="8" t="s">
        <v>1508</v>
      </c>
      <c r="D8" s="66"/>
      <c r="E8" s="8"/>
      <c r="F8" s="66"/>
      <c r="G8" s="8"/>
    </row>
    <row r="9" customFormat="false" ht="15" hidden="false" customHeight="true" outlineLevel="0" collapsed="false">
      <c r="A9" s="66" t="n">
        <v>7</v>
      </c>
      <c r="B9" s="8" t="s">
        <v>1509</v>
      </c>
      <c r="C9" s="8" t="s">
        <v>1510</v>
      </c>
      <c r="D9" s="66"/>
      <c r="E9" s="8"/>
      <c r="F9" s="66"/>
      <c r="G9" s="8"/>
    </row>
    <row r="10" customFormat="false" ht="15" hidden="false" customHeight="true" outlineLevel="0" collapsed="false">
      <c r="A10" s="66" t="n">
        <v>8</v>
      </c>
      <c r="B10" s="8" t="s">
        <v>1511</v>
      </c>
      <c r="C10" s="8" t="s">
        <v>1512</v>
      </c>
      <c r="D10" s="66"/>
      <c r="E10" s="8"/>
      <c r="F10" s="66"/>
      <c r="G10" s="8"/>
    </row>
    <row r="11" customFormat="false" ht="15" hidden="false" customHeight="true" outlineLevel="0" collapsed="false">
      <c r="A11" s="66" t="n">
        <v>9</v>
      </c>
      <c r="B11" s="8" t="s">
        <v>1513</v>
      </c>
      <c r="C11" s="8" t="s">
        <v>1514</v>
      </c>
      <c r="D11" s="66"/>
      <c r="E11" s="8"/>
      <c r="F11" s="66"/>
      <c r="G11" s="8"/>
    </row>
    <row r="12" customFormat="false" ht="15" hidden="false" customHeight="true" outlineLevel="0" collapsed="false">
      <c r="A12" s="66" t="n">
        <v>10</v>
      </c>
      <c r="B12" s="8" t="s">
        <v>1515</v>
      </c>
      <c r="C12" s="8" t="s">
        <v>1516</v>
      </c>
      <c r="D12" s="66"/>
      <c r="E12" s="8"/>
      <c r="F12" s="66"/>
      <c r="G12" s="8"/>
    </row>
    <row r="13" customFormat="false" ht="23.25" hidden="false" customHeight="true" outlineLevel="0" collapsed="false">
      <c r="A13" s="66" t="n">
        <v>11</v>
      </c>
      <c r="B13" s="8" t="s">
        <v>1517</v>
      </c>
      <c r="C13" s="8" t="s">
        <v>1518</v>
      </c>
      <c r="D13" s="66"/>
      <c r="E13" s="8"/>
      <c r="F13" s="66"/>
      <c r="G13" s="8"/>
    </row>
    <row r="14" customFormat="false" ht="15" hidden="false" customHeight="true" outlineLevel="0" collapsed="false">
      <c r="A14" s="66" t="n">
        <v>12</v>
      </c>
      <c r="B14" s="8" t="s">
        <v>1519</v>
      </c>
      <c r="C14" s="8" t="s">
        <v>1520</v>
      </c>
      <c r="D14" s="66"/>
      <c r="E14" s="8"/>
      <c r="F14" s="66"/>
      <c r="G14" s="8"/>
    </row>
    <row r="15" customFormat="false" ht="23.25" hidden="false" customHeight="true" outlineLevel="0" collapsed="false">
      <c r="A15" s="66" t="n">
        <v>13</v>
      </c>
      <c r="B15" s="8" t="s">
        <v>1521</v>
      </c>
      <c r="C15" s="8" t="s">
        <v>1522</v>
      </c>
      <c r="D15" s="66"/>
      <c r="E15" s="8"/>
      <c r="F15" s="66"/>
      <c r="G15" s="8"/>
    </row>
    <row r="16" customFormat="false" ht="23.25" hidden="false" customHeight="true" outlineLevel="0" collapsed="false">
      <c r="A16" s="66" t="n">
        <v>14</v>
      </c>
      <c r="B16" s="8" t="s">
        <v>1523</v>
      </c>
      <c r="C16" s="8" t="s">
        <v>1524</v>
      </c>
      <c r="D16" s="66"/>
      <c r="E16" s="8"/>
      <c r="F16" s="66"/>
      <c r="G16" s="8"/>
    </row>
  </sheetData>
  <mergeCells count="1">
    <mergeCell ref="A1:G1"/>
  </mergeCells>
  <conditionalFormatting sqref="D3:D16">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6"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6" min="3" style="1" width="16"/>
    <col collapsed="false" customWidth="true" hidden="false" outlineLevel="0" max="7" min="7" style="1" width="18"/>
    <col collapsed="false" customWidth="true" hidden="false" outlineLevel="0" max="8" min="8" style="1" width="12"/>
    <col collapsed="false" customWidth="true" hidden="false" outlineLevel="0" max="9" min="9" style="1" width="15"/>
    <col collapsed="false" customWidth="true" hidden="false" outlineLevel="0" max="10" min="10" style="1" width="13"/>
    <col collapsed="false" customWidth="true" hidden="false" outlineLevel="0" max="12" min="11" style="1" width="11"/>
    <col collapsed="false" customWidth="true" hidden="false" outlineLevel="0" max="14" min="13" style="1" width="13"/>
    <col collapsed="false" customWidth="true" hidden="false" outlineLevel="0" max="15" min="15" style="1" width="28"/>
  </cols>
  <sheetData>
    <row r="1" customFormat="false" ht="24" hidden="false" customHeight="true" outlineLevel="0" collapsed="false">
      <c r="A1" s="60" t="s">
        <v>1525</v>
      </c>
      <c r="B1" s="60"/>
      <c r="C1" s="60"/>
      <c r="D1" s="60"/>
      <c r="E1" s="60"/>
      <c r="F1" s="60"/>
      <c r="G1" s="60"/>
      <c r="H1" s="60"/>
      <c r="I1" s="60"/>
      <c r="J1" s="60"/>
      <c r="K1" s="60"/>
      <c r="L1" s="60"/>
      <c r="M1" s="60"/>
      <c r="N1" s="60"/>
      <c r="O1" s="60"/>
    </row>
    <row r="2" customFormat="false" ht="30" hidden="false" customHeight="true" outlineLevel="0" collapsed="false">
      <c r="A2" s="61" t="s">
        <v>1526</v>
      </c>
      <c r="B2" s="61" t="s">
        <v>1527</v>
      </c>
      <c r="C2" s="61" t="s">
        <v>1528</v>
      </c>
      <c r="D2" s="61" t="s">
        <v>1529</v>
      </c>
      <c r="E2" s="61" t="s">
        <v>1530</v>
      </c>
      <c r="F2" s="61" t="s">
        <v>1531</v>
      </c>
      <c r="G2" s="61" t="s">
        <v>1532</v>
      </c>
      <c r="H2" s="61" t="s">
        <v>1533</v>
      </c>
      <c r="I2" s="61" t="s">
        <v>1534</v>
      </c>
      <c r="J2" s="61" t="s">
        <v>1535</v>
      </c>
      <c r="K2" s="61" t="s">
        <v>1536</v>
      </c>
      <c r="L2" s="61" t="s">
        <v>381</v>
      </c>
      <c r="M2" s="61" t="s">
        <v>1537</v>
      </c>
      <c r="N2" s="61" t="s">
        <v>1538</v>
      </c>
      <c r="O2" s="61" t="s">
        <v>1539</v>
      </c>
    </row>
    <row r="3" customFormat="false" ht="15" hidden="false" customHeight="true" outlineLevel="0" collapsed="false">
      <c r="A3" s="66" t="s">
        <v>1540</v>
      </c>
      <c r="B3" s="8" t="s">
        <v>1541</v>
      </c>
      <c r="C3" s="66" t="s">
        <v>1542</v>
      </c>
      <c r="D3" s="66" t="s">
        <v>1543</v>
      </c>
      <c r="E3" s="66" t="s">
        <v>127</v>
      </c>
      <c r="F3" s="66" t="s">
        <v>1544</v>
      </c>
      <c r="G3" s="66" t="s">
        <v>1545</v>
      </c>
      <c r="H3" s="66" t="s">
        <v>1546</v>
      </c>
      <c r="I3" s="66" t="s">
        <v>1547</v>
      </c>
      <c r="J3" s="66" t="s">
        <v>1493</v>
      </c>
      <c r="K3" s="66" t="s">
        <v>128</v>
      </c>
      <c r="L3" s="66" t="s">
        <v>1548</v>
      </c>
      <c r="M3" s="66" t="s">
        <v>1549</v>
      </c>
      <c r="N3" s="66" t="s">
        <v>1550</v>
      </c>
      <c r="O3" s="8" t="s">
        <v>1551</v>
      </c>
    </row>
    <row r="4" customFormat="false" ht="15" hidden="false" customHeight="true" outlineLevel="0" collapsed="false">
      <c r="A4" s="66" t="s">
        <v>1552</v>
      </c>
      <c r="B4" s="8" t="s">
        <v>1553</v>
      </c>
      <c r="C4" s="66" t="s">
        <v>1554</v>
      </c>
      <c r="D4" s="66" t="s">
        <v>1555</v>
      </c>
      <c r="E4" s="66" t="s">
        <v>127</v>
      </c>
      <c r="F4" s="66" t="s">
        <v>1544</v>
      </c>
      <c r="G4" s="66" t="s">
        <v>1556</v>
      </c>
      <c r="H4" s="66" t="s">
        <v>1557</v>
      </c>
      <c r="I4" s="66" t="s">
        <v>1547</v>
      </c>
      <c r="J4" s="66" t="s">
        <v>1493</v>
      </c>
      <c r="K4" s="66" t="s">
        <v>128</v>
      </c>
      <c r="L4" s="66" t="s">
        <v>1548</v>
      </c>
      <c r="M4" s="66" t="s">
        <v>1558</v>
      </c>
      <c r="N4" s="66" t="s">
        <v>1559</v>
      </c>
      <c r="O4" s="8" t="s">
        <v>1560</v>
      </c>
    </row>
    <row r="5" customFormat="false" ht="15" hidden="false" customHeight="true" outlineLevel="0" collapsed="false">
      <c r="A5" s="66" t="s">
        <v>1561</v>
      </c>
      <c r="B5" s="8" t="s">
        <v>1562</v>
      </c>
      <c r="C5" s="66" t="s">
        <v>1563</v>
      </c>
      <c r="D5" s="66" t="s">
        <v>1564</v>
      </c>
      <c r="E5" s="66" t="s">
        <v>129</v>
      </c>
      <c r="F5" s="66" t="s">
        <v>1565</v>
      </c>
      <c r="G5" s="66" t="s">
        <v>1566</v>
      </c>
      <c r="H5" s="66" t="s">
        <v>1567</v>
      </c>
      <c r="I5" s="66" t="s">
        <v>1568</v>
      </c>
      <c r="J5" s="66" t="s">
        <v>1493</v>
      </c>
      <c r="K5" s="66" t="s">
        <v>1569</v>
      </c>
      <c r="L5" s="66" t="s">
        <v>1548</v>
      </c>
      <c r="M5" s="66" t="s">
        <v>1570</v>
      </c>
      <c r="N5" s="66" t="s">
        <v>1571</v>
      </c>
      <c r="O5" s="8" t="s">
        <v>1572</v>
      </c>
    </row>
    <row r="6" customFormat="false" ht="15" hidden="false" customHeight="true" outlineLevel="0" collapsed="false">
      <c r="A6" s="52"/>
      <c r="B6" s="52"/>
      <c r="C6" s="52"/>
      <c r="D6" s="52"/>
      <c r="E6" s="52"/>
      <c r="F6" s="52"/>
      <c r="G6" s="52"/>
      <c r="H6" s="52"/>
      <c r="I6" s="52"/>
      <c r="J6" s="52"/>
      <c r="K6" s="52"/>
      <c r="L6" s="52"/>
      <c r="M6" s="52"/>
      <c r="N6" s="52"/>
      <c r="O6" s="52"/>
    </row>
    <row r="7" customFormat="false" ht="15" hidden="false" customHeight="true" outlineLevel="0" collapsed="false">
      <c r="A7" s="52"/>
      <c r="B7" s="52"/>
      <c r="C7" s="52"/>
      <c r="D7" s="52"/>
      <c r="E7" s="52"/>
      <c r="F7" s="52"/>
      <c r="G7" s="52"/>
      <c r="H7" s="52"/>
      <c r="I7" s="52"/>
      <c r="J7" s="52"/>
      <c r="K7" s="52"/>
      <c r="L7" s="52"/>
      <c r="M7" s="52"/>
      <c r="N7" s="52"/>
      <c r="O7" s="52"/>
    </row>
    <row r="8" customFormat="false" ht="15" hidden="false" customHeight="true" outlineLevel="0" collapsed="false">
      <c r="A8" s="52"/>
      <c r="B8" s="52"/>
      <c r="C8" s="52"/>
      <c r="D8" s="52"/>
      <c r="E8" s="52"/>
      <c r="F8" s="52"/>
      <c r="G8" s="52"/>
      <c r="H8" s="52"/>
      <c r="I8" s="52"/>
      <c r="J8" s="52"/>
      <c r="K8" s="52"/>
      <c r="L8" s="52"/>
      <c r="M8" s="52"/>
      <c r="N8" s="52"/>
      <c r="O8" s="52"/>
    </row>
    <row r="9" customFormat="false" ht="15" hidden="false" customHeight="true" outlineLevel="0" collapsed="false">
      <c r="A9" s="52"/>
      <c r="B9" s="52"/>
      <c r="C9" s="52"/>
      <c r="D9" s="52"/>
      <c r="E9" s="52"/>
      <c r="F9" s="52"/>
      <c r="G9" s="52"/>
      <c r="H9" s="52"/>
      <c r="I9" s="52"/>
      <c r="J9" s="52"/>
      <c r="K9" s="52"/>
      <c r="L9" s="52"/>
      <c r="M9" s="52"/>
      <c r="N9" s="52"/>
      <c r="O9" s="52"/>
    </row>
    <row r="10" customFormat="false" ht="15" hidden="false" customHeight="true" outlineLevel="0" collapsed="false">
      <c r="A10" s="52"/>
      <c r="B10" s="52"/>
      <c r="C10" s="52"/>
      <c r="D10" s="52"/>
      <c r="E10" s="52"/>
      <c r="F10" s="52"/>
      <c r="G10" s="52"/>
      <c r="H10" s="52"/>
      <c r="I10" s="52"/>
      <c r="J10" s="52"/>
      <c r="K10" s="52"/>
      <c r="L10" s="52"/>
      <c r="M10" s="52"/>
      <c r="N10" s="52"/>
      <c r="O10" s="52"/>
    </row>
    <row r="11" customFormat="false" ht="15" hidden="false" customHeight="true" outlineLevel="0" collapsed="false">
      <c r="A11" s="52"/>
      <c r="B11" s="52"/>
      <c r="C11" s="52"/>
      <c r="D11" s="52"/>
      <c r="E11" s="52"/>
      <c r="F11" s="52"/>
      <c r="G11" s="52"/>
      <c r="H11" s="52"/>
      <c r="I11" s="52"/>
      <c r="J11" s="52"/>
      <c r="K11" s="52"/>
      <c r="L11" s="52"/>
      <c r="M11" s="52"/>
      <c r="N11" s="52"/>
      <c r="O11" s="52"/>
    </row>
    <row r="12" customFormat="false" ht="15" hidden="false" customHeight="true" outlineLevel="0" collapsed="false">
      <c r="A12" s="52"/>
      <c r="B12" s="52"/>
      <c r="C12" s="52"/>
      <c r="D12" s="52"/>
      <c r="E12" s="52"/>
      <c r="F12" s="52"/>
      <c r="G12" s="52"/>
      <c r="H12" s="52"/>
      <c r="I12" s="52"/>
      <c r="J12" s="52"/>
      <c r="K12" s="52"/>
      <c r="L12" s="52"/>
      <c r="M12" s="52"/>
      <c r="N12" s="52"/>
      <c r="O12" s="52"/>
    </row>
    <row r="13" customFormat="false" ht="15" hidden="false" customHeight="true" outlineLevel="0" collapsed="false">
      <c r="A13" s="52"/>
      <c r="B13" s="52"/>
      <c r="C13" s="52"/>
      <c r="D13" s="52"/>
      <c r="E13" s="52"/>
      <c r="F13" s="52"/>
      <c r="G13" s="52"/>
      <c r="H13" s="52"/>
      <c r="I13" s="52"/>
      <c r="J13" s="52"/>
      <c r="K13" s="52"/>
      <c r="L13" s="52"/>
      <c r="M13" s="52"/>
      <c r="N13" s="52"/>
      <c r="O13" s="52"/>
    </row>
    <row r="14" customFormat="false" ht="15" hidden="false" customHeight="true" outlineLevel="0" collapsed="false">
      <c r="A14" s="52"/>
      <c r="B14" s="52"/>
      <c r="C14" s="52"/>
      <c r="D14" s="52"/>
      <c r="E14" s="52"/>
      <c r="F14" s="52"/>
      <c r="G14" s="52"/>
      <c r="H14" s="52"/>
      <c r="I14" s="52"/>
      <c r="J14" s="52"/>
      <c r="K14" s="52"/>
      <c r="L14" s="52"/>
      <c r="M14" s="52"/>
      <c r="N14" s="52"/>
      <c r="O14" s="52"/>
    </row>
    <row r="15" customFormat="false" ht="15" hidden="false" customHeight="true" outlineLevel="0" collapsed="false">
      <c r="A15" s="52"/>
      <c r="B15" s="52"/>
      <c r="C15" s="52"/>
      <c r="D15" s="52"/>
      <c r="E15" s="52"/>
      <c r="F15" s="52"/>
      <c r="G15" s="52"/>
      <c r="H15" s="52"/>
      <c r="I15" s="52"/>
      <c r="J15" s="52"/>
      <c r="K15" s="52"/>
      <c r="L15" s="52"/>
      <c r="M15" s="52"/>
      <c r="N15" s="52"/>
      <c r="O15" s="52"/>
    </row>
    <row r="16" customFormat="false" ht="15" hidden="false" customHeight="true" outlineLevel="0" collapsed="false">
      <c r="A16" s="52"/>
      <c r="B16" s="52"/>
      <c r="C16" s="52"/>
      <c r="D16" s="52"/>
      <c r="E16" s="52"/>
      <c r="F16" s="52"/>
      <c r="G16" s="52"/>
      <c r="H16" s="52"/>
      <c r="I16" s="52"/>
      <c r="J16" s="52"/>
      <c r="K16" s="52"/>
      <c r="L16" s="52"/>
      <c r="M16" s="52"/>
      <c r="N16" s="52"/>
      <c r="O16" s="52"/>
    </row>
    <row r="17" customFormat="false" ht="15" hidden="false" customHeight="true" outlineLevel="0" collapsed="false">
      <c r="A17" s="52"/>
      <c r="B17" s="52"/>
      <c r="C17" s="52"/>
      <c r="D17" s="52"/>
      <c r="E17" s="52"/>
      <c r="F17" s="52"/>
      <c r="G17" s="52"/>
      <c r="H17" s="52"/>
      <c r="I17" s="52"/>
      <c r="J17" s="52"/>
      <c r="K17" s="52"/>
      <c r="L17" s="52"/>
      <c r="M17" s="52"/>
      <c r="N17" s="52"/>
      <c r="O17" s="52"/>
    </row>
    <row r="18" customFormat="false" ht="15" hidden="false" customHeight="true" outlineLevel="0" collapsed="false">
      <c r="A18" s="52"/>
      <c r="B18" s="52"/>
      <c r="C18" s="52"/>
      <c r="D18" s="52"/>
      <c r="E18" s="52"/>
      <c r="F18" s="52"/>
      <c r="G18" s="52"/>
      <c r="H18" s="52"/>
      <c r="I18" s="52"/>
      <c r="J18" s="52"/>
      <c r="K18" s="52"/>
      <c r="L18" s="52"/>
      <c r="M18" s="52"/>
      <c r="N18" s="52"/>
      <c r="O18" s="52"/>
    </row>
    <row r="19" customFormat="false" ht="15" hidden="false" customHeight="true" outlineLevel="0" collapsed="false">
      <c r="A19" s="52"/>
      <c r="B19" s="52"/>
      <c r="C19" s="52"/>
      <c r="D19" s="52"/>
      <c r="E19" s="52"/>
      <c r="F19" s="52"/>
      <c r="G19" s="52"/>
      <c r="H19" s="52"/>
      <c r="I19" s="52"/>
      <c r="J19" s="52"/>
      <c r="K19" s="52"/>
      <c r="L19" s="52"/>
      <c r="M19" s="52"/>
      <c r="N19" s="52"/>
      <c r="O19" s="52"/>
    </row>
    <row r="20" customFormat="false" ht="15" hidden="false" customHeight="true" outlineLevel="0" collapsed="false">
      <c r="A20" s="52"/>
      <c r="B20" s="52"/>
      <c r="C20" s="52"/>
      <c r="D20" s="52"/>
      <c r="E20" s="52"/>
      <c r="F20" s="52"/>
      <c r="G20" s="52"/>
      <c r="H20" s="52"/>
      <c r="I20" s="52"/>
      <c r="J20" s="52"/>
      <c r="K20" s="52"/>
      <c r="L20" s="52"/>
      <c r="M20" s="52"/>
      <c r="N20" s="52"/>
      <c r="O20" s="52"/>
    </row>
  </sheetData>
  <mergeCells count="1">
    <mergeCell ref="A1:O1"/>
  </mergeCells>
  <conditionalFormatting sqref="K3:K20">
    <cfRule type="cellIs" priority="2" operator="equal" aboveAverage="0" equalAverage="0" bottom="0" percent="0" rank="0" text="" dxfId="3">
      <formula>"Critical"</formula>
    </cfRule>
    <cfRule type="cellIs" priority="3" operator="equal" aboveAverage="0" equalAverage="0" bottom="0" percent="0" rank="0" text="" dxfId="6">
      <formula>"High"</formula>
    </cfRule>
    <cfRule type="cellIs" priority="4" operator="equal" aboveAverage="0" equalAverage="0" bottom="0" percent="0" rank="0" text="" dxfId="7">
      <formula>"Limited"</formula>
    </cfRule>
    <cfRule type="cellIs" priority="5" operator="equal" aboveAverage="0" equalAverage="0" bottom="0" percent="0" rank="0" text="" dxfId="16">
      <formula>"Minimal"</formula>
    </cfRule>
    <cfRule type="cellIs" priority="6" operator="equal" aboveAverage="0" equalAverage="0" bottom="0" percent="0" rank="0" text="" dxfId="7">
      <formula>"Medium"</formula>
    </cfRule>
    <cfRule type="cellIs" priority="7" operator="equal" aboveAverage="0" equalAverage="0" bottom="0" percent="0" rank="0" text="" dxfId="16">
      <formula>"Low"</formula>
    </cfRule>
  </conditionalFormatting>
  <conditionalFormatting sqref="E3:E20">
    <cfRule type="cellIs" priority="8" operator="equal" aboveAverage="0" equalAverage="0" bottom="0" percent="0" rank="0" text="" dxfId="3">
      <formula>"Critical"</formula>
    </cfRule>
    <cfRule type="cellIs" priority="9" operator="equal" aboveAverage="0" equalAverage="0" bottom="0" percent="0" rank="0" text="" dxfId="6">
      <formula>"High"</formula>
    </cfRule>
    <cfRule type="cellIs" priority="10" operator="equal" aboveAverage="0" equalAverage="0" bottom="0" percent="0" rank="0" text="" dxfId="7">
      <formula>"Limited"</formula>
    </cfRule>
    <cfRule type="cellIs" priority="11" operator="equal" aboveAverage="0" equalAverage="0" bottom="0" percent="0" rank="0" text="" dxfId="16">
      <formula>"Minimal"</formula>
    </cfRule>
    <cfRule type="cellIs" priority="12" operator="equal" aboveAverage="0" equalAverage="0" bottom="0" percent="0" rank="0" text="" dxfId="7">
      <formula>"Medium"</formula>
    </cfRule>
    <cfRule type="cellIs" priority="13" operator="equal" aboveAverage="0" equalAverage="0" bottom="0" percent="0" rank="0" text="" dxfId="16">
      <formula>"Low"</formula>
    </cfRule>
  </conditionalFormatting>
  <dataValidations count="4">
    <dataValidation allowBlank="true" errorStyle="stop" operator="between" showDropDown="false" showErrorMessage="false" showInputMessage="false" sqref="E3:E20" type="list">
      <formula1>"Critical,High,Medium,Low"</formula1>
      <formula2>0</formula2>
    </dataValidation>
    <dataValidation allowBlank="true" errorStyle="stop" operator="between" showDropDown="false" showErrorMessage="false" showInputMessage="false" sqref="F3:F20" type="list">
      <formula1>"Public,Internal,Confidential,Restricted"</formula1>
      <formula2>0</formula2>
    </dataValidation>
    <dataValidation allowBlank="true" errorStyle="stop" operator="between" showDropDown="false" showErrorMessage="false" showInputMessage="false" sqref="K3:K20" type="list">
      <formula1>"Critical,High,Limited,Minimal"</formula1>
      <formula2>0</formula2>
    </dataValidation>
    <dataValidation allowBlank="true" errorStyle="stop" operator="between" showDropDown="false" showErrorMessage="false" showInputMessage="false" sqref="L3:L20" type="list">
      <formula1>"Concept,Development,Testing,Live,Retired"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16"/>
    <col collapsed="false" customWidth="true" hidden="false" outlineLevel="0" max="6" min="4" style="1" width="12"/>
    <col collapsed="false" customWidth="true" hidden="false" outlineLevel="0" max="7" min="7" style="1" width="36"/>
    <col collapsed="false" customWidth="true" hidden="false" outlineLevel="0" max="8" min="8" style="1" width="12"/>
    <col collapsed="false" customWidth="true" hidden="false" outlineLevel="0" max="9" min="9" style="1" width="16"/>
    <col collapsed="false" customWidth="true" hidden="false" outlineLevel="0" max="10" min="10" style="1" width="12"/>
  </cols>
  <sheetData>
    <row r="1" customFormat="false" ht="24" hidden="false" customHeight="true" outlineLevel="0" collapsed="false">
      <c r="A1" s="60" t="s">
        <v>1573</v>
      </c>
      <c r="B1" s="60"/>
      <c r="C1" s="60"/>
      <c r="D1" s="60"/>
      <c r="E1" s="60"/>
      <c r="F1" s="60"/>
      <c r="G1" s="60"/>
      <c r="H1" s="60"/>
      <c r="I1" s="60"/>
      <c r="J1" s="60"/>
    </row>
    <row r="2" customFormat="false" ht="30" hidden="false" customHeight="true" outlineLevel="0" collapsed="false">
      <c r="A2" s="61" t="s">
        <v>1574</v>
      </c>
      <c r="B2" s="61" t="s">
        <v>1575</v>
      </c>
      <c r="C2" s="61" t="s">
        <v>199</v>
      </c>
      <c r="D2" s="61" t="s">
        <v>1576</v>
      </c>
      <c r="E2" s="61" t="s">
        <v>1577</v>
      </c>
      <c r="F2" s="61" t="s">
        <v>1578</v>
      </c>
      <c r="G2" s="61" t="s">
        <v>1579</v>
      </c>
      <c r="H2" s="61" t="s">
        <v>1580</v>
      </c>
      <c r="I2" s="61" t="s">
        <v>209</v>
      </c>
      <c r="J2" s="61" t="s">
        <v>381</v>
      </c>
    </row>
    <row r="3" customFormat="false" ht="23.25" hidden="false" customHeight="true" outlineLevel="0" collapsed="false">
      <c r="A3" s="66" t="s">
        <v>1581</v>
      </c>
      <c r="B3" s="8" t="s">
        <v>1582</v>
      </c>
      <c r="C3" s="66" t="s">
        <v>1583</v>
      </c>
      <c r="D3" s="66" t="s">
        <v>1584</v>
      </c>
      <c r="E3" s="66" t="s">
        <v>1585</v>
      </c>
      <c r="F3" s="66" t="s">
        <v>128</v>
      </c>
      <c r="G3" s="8" t="s">
        <v>1586</v>
      </c>
      <c r="H3" s="66" t="s">
        <v>129</v>
      </c>
      <c r="I3" s="66" t="s">
        <v>389</v>
      </c>
      <c r="J3" s="66" t="s">
        <v>1587</v>
      </c>
    </row>
    <row r="4" customFormat="false" ht="23.25" hidden="false" customHeight="true" outlineLevel="0" collapsed="false">
      <c r="A4" s="66" t="s">
        <v>1588</v>
      </c>
      <c r="B4" s="8" t="s">
        <v>1589</v>
      </c>
      <c r="C4" s="66" t="s">
        <v>354</v>
      </c>
      <c r="D4" s="66" t="s">
        <v>1590</v>
      </c>
      <c r="E4" s="66" t="s">
        <v>1590</v>
      </c>
      <c r="F4" s="66" t="s">
        <v>128</v>
      </c>
      <c r="G4" s="8" t="s">
        <v>1591</v>
      </c>
      <c r="H4" s="66" t="s">
        <v>129</v>
      </c>
      <c r="I4" s="66" t="s">
        <v>1592</v>
      </c>
      <c r="J4" s="66" t="s">
        <v>1587</v>
      </c>
    </row>
    <row r="5" customFormat="false" ht="23.25" hidden="false" customHeight="true" outlineLevel="0" collapsed="false">
      <c r="A5" s="66" t="s">
        <v>1593</v>
      </c>
      <c r="B5" s="8" t="s">
        <v>1594</v>
      </c>
      <c r="C5" s="66" t="s">
        <v>1595</v>
      </c>
      <c r="D5" s="66" t="s">
        <v>1584</v>
      </c>
      <c r="E5" s="66" t="s">
        <v>1590</v>
      </c>
      <c r="F5" s="66" t="s">
        <v>128</v>
      </c>
      <c r="G5" s="8" t="s">
        <v>1596</v>
      </c>
      <c r="H5" s="66" t="s">
        <v>130</v>
      </c>
      <c r="I5" s="66" t="s">
        <v>1597</v>
      </c>
      <c r="J5" s="66" t="s">
        <v>1598</v>
      </c>
    </row>
    <row r="6" customFormat="false" ht="15" hidden="false" customHeight="true" outlineLevel="0" collapsed="false">
      <c r="A6" s="66" t="s">
        <v>1599</v>
      </c>
      <c r="B6" s="8" t="s">
        <v>1600</v>
      </c>
      <c r="C6" s="66" t="s">
        <v>1601</v>
      </c>
      <c r="D6" s="66" t="s">
        <v>1590</v>
      </c>
      <c r="E6" s="66" t="s">
        <v>1590</v>
      </c>
      <c r="F6" s="66" t="s">
        <v>128</v>
      </c>
      <c r="G6" s="8" t="s">
        <v>1602</v>
      </c>
      <c r="H6" s="66" t="s">
        <v>129</v>
      </c>
      <c r="I6" s="66" t="s">
        <v>221</v>
      </c>
      <c r="J6" s="66" t="s">
        <v>1587</v>
      </c>
    </row>
    <row r="7" customFormat="false" ht="23.25" hidden="false" customHeight="true" outlineLevel="0" collapsed="false">
      <c r="A7" s="66" t="s">
        <v>1603</v>
      </c>
      <c r="B7" s="8" t="s">
        <v>1604</v>
      </c>
      <c r="C7" s="66" t="s">
        <v>373</v>
      </c>
      <c r="D7" s="66" t="s">
        <v>1605</v>
      </c>
      <c r="E7" s="66" t="s">
        <v>1585</v>
      </c>
      <c r="F7" s="66" t="s">
        <v>128</v>
      </c>
      <c r="G7" s="8" t="s">
        <v>1606</v>
      </c>
      <c r="H7" s="66" t="s">
        <v>130</v>
      </c>
      <c r="I7" s="66" t="s">
        <v>1607</v>
      </c>
      <c r="J7" s="66" t="s">
        <v>1598</v>
      </c>
    </row>
    <row r="8" customFormat="false" ht="15" hidden="false" customHeight="true" outlineLevel="0" collapsed="false">
      <c r="A8" s="52"/>
      <c r="B8" s="52"/>
      <c r="C8" s="52"/>
      <c r="D8" s="52"/>
      <c r="E8" s="52"/>
      <c r="F8" s="52"/>
      <c r="G8" s="52"/>
      <c r="H8" s="52"/>
      <c r="I8" s="52"/>
      <c r="J8" s="52"/>
    </row>
    <row r="9" customFormat="false" ht="15" hidden="false" customHeight="true" outlineLevel="0" collapsed="false">
      <c r="A9" s="52"/>
      <c r="B9" s="52"/>
      <c r="C9" s="52"/>
      <c r="D9" s="52"/>
      <c r="E9" s="52"/>
      <c r="F9" s="52"/>
      <c r="G9" s="52"/>
      <c r="H9" s="52"/>
      <c r="I9" s="52"/>
      <c r="J9" s="52"/>
    </row>
    <row r="10" customFormat="false" ht="15" hidden="false" customHeight="true" outlineLevel="0" collapsed="false">
      <c r="A10" s="52"/>
      <c r="B10" s="52"/>
      <c r="C10" s="52"/>
      <c r="D10" s="52"/>
      <c r="E10" s="52"/>
      <c r="F10" s="52"/>
      <c r="G10" s="52"/>
      <c r="H10" s="52"/>
      <c r="I10" s="52"/>
      <c r="J10" s="52"/>
    </row>
    <row r="11" customFormat="false" ht="15" hidden="false" customHeight="true" outlineLevel="0" collapsed="false">
      <c r="A11" s="52"/>
      <c r="B11" s="52"/>
      <c r="C11" s="52"/>
      <c r="D11" s="52"/>
      <c r="E11" s="52"/>
      <c r="F11" s="52"/>
      <c r="G11" s="52"/>
      <c r="H11" s="52"/>
      <c r="I11" s="52"/>
      <c r="J11" s="52"/>
    </row>
    <row r="12" customFormat="false" ht="15" hidden="false" customHeight="true" outlineLevel="0" collapsed="false">
      <c r="A12" s="52"/>
      <c r="B12" s="52"/>
      <c r="C12" s="52"/>
      <c r="D12" s="52"/>
      <c r="E12" s="52"/>
      <c r="F12" s="52"/>
      <c r="G12" s="52"/>
      <c r="H12" s="52"/>
      <c r="I12" s="52"/>
      <c r="J12" s="52"/>
    </row>
    <row r="13" customFormat="false" ht="15" hidden="false" customHeight="true" outlineLevel="0" collapsed="false">
      <c r="A13" s="52"/>
      <c r="B13" s="52"/>
      <c r="C13" s="52"/>
      <c r="D13" s="52"/>
      <c r="E13" s="52"/>
      <c r="F13" s="52"/>
      <c r="G13" s="52"/>
      <c r="H13" s="52"/>
      <c r="I13" s="52"/>
      <c r="J13" s="52"/>
    </row>
    <row r="14" customFormat="false" ht="15" hidden="false" customHeight="true" outlineLevel="0" collapsed="false">
      <c r="A14" s="52"/>
      <c r="B14" s="52"/>
      <c r="C14" s="52"/>
      <c r="D14" s="52"/>
      <c r="E14" s="52"/>
      <c r="F14" s="52"/>
      <c r="G14" s="52"/>
      <c r="H14" s="52"/>
      <c r="I14" s="52"/>
      <c r="J14" s="52"/>
    </row>
    <row r="15" customFormat="false" ht="15" hidden="false" customHeight="true" outlineLevel="0" collapsed="false">
      <c r="A15" s="52"/>
      <c r="B15" s="52"/>
      <c r="C15" s="52"/>
      <c r="D15" s="52"/>
      <c r="E15" s="52"/>
      <c r="F15" s="52"/>
      <c r="G15" s="52"/>
      <c r="H15" s="52"/>
      <c r="I15" s="52"/>
      <c r="J15" s="52"/>
    </row>
    <row r="16" customFormat="false" ht="15" hidden="false" customHeight="true" outlineLevel="0" collapsed="false">
      <c r="A16" s="52"/>
      <c r="B16" s="52"/>
      <c r="C16" s="52"/>
      <c r="D16" s="52"/>
      <c r="E16" s="52"/>
      <c r="F16" s="52"/>
      <c r="G16" s="52"/>
      <c r="H16" s="52"/>
      <c r="I16" s="52"/>
      <c r="J16" s="52"/>
    </row>
    <row r="17" customFormat="false" ht="15" hidden="false" customHeight="true" outlineLevel="0" collapsed="false">
      <c r="A17" s="52"/>
      <c r="B17" s="52"/>
      <c r="C17" s="52"/>
      <c r="D17" s="52"/>
      <c r="E17" s="52"/>
      <c r="F17" s="52"/>
      <c r="G17" s="52"/>
      <c r="H17" s="52"/>
      <c r="I17" s="52"/>
      <c r="J17" s="52"/>
    </row>
    <row r="18" customFormat="false" ht="15" hidden="false" customHeight="true" outlineLevel="0" collapsed="false">
      <c r="A18" s="52"/>
      <c r="B18" s="52"/>
      <c r="C18" s="52"/>
      <c r="D18" s="52"/>
      <c r="E18" s="52"/>
      <c r="F18" s="52"/>
      <c r="G18" s="52"/>
      <c r="H18" s="52"/>
      <c r="I18" s="52"/>
      <c r="J18" s="52"/>
    </row>
    <row r="19" customFormat="false" ht="15" hidden="false" customHeight="true" outlineLevel="0" collapsed="false">
      <c r="A19" s="52"/>
      <c r="B19" s="52"/>
      <c r="C19" s="52"/>
      <c r="D19" s="52"/>
      <c r="E19" s="52"/>
      <c r="F19" s="52"/>
      <c r="G19" s="52"/>
      <c r="H19" s="52"/>
      <c r="I19" s="52"/>
      <c r="J19" s="52"/>
    </row>
    <row r="20" customFormat="false" ht="15" hidden="false" customHeight="true" outlineLevel="0" collapsed="false">
      <c r="A20" s="52"/>
      <c r="B20" s="52"/>
      <c r="C20" s="52"/>
      <c r="D20" s="52"/>
      <c r="E20" s="52"/>
      <c r="F20" s="52"/>
      <c r="G20" s="52"/>
      <c r="H20" s="52"/>
      <c r="I20" s="52"/>
      <c r="J20" s="52"/>
    </row>
    <row r="21" customFormat="false" ht="15" hidden="false" customHeight="true" outlineLevel="0" collapsed="false">
      <c r="A21" s="52"/>
      <c r="B21" s="52"/>
      <c r="C21" s="52"/>
      <c r="D21" s="52"/>
      <c r="E21" s="52"/>
      <c r="F21" s="52"/>
      <c r="G21" s="52"/>
      <c r="H21" s="52"/>
      <c r="I21" s="52"/>
      <c r="J21" s="52"/>
    </row>
    <row r="22" customFormat="false" ht="15" hidden="false" customHeight="true" outlineLevel="0" collapsed="false">
      <c r="A22" s="52"/>
      <c r="B22" s="52"/>
      <c r="C22" s="52"/>
      <c r="D22" s="52"/>
      <c r="E22" s="52"/>
      <c r="F22" s="52"/>
      <c r="G22" s="52"/>
      <c r="H22" s="52"/>
      <c r="I22" s="52"/>
      <c r="J22" s="52"/>
    </row>
  </sheetData>
  <mergeCells count="1">
    <mergeCell ref="A1:J1"/>
  </mergeCells>
  <conditionalFormatting sqref="F3:F22">
    <cfRule type="cellIs" priority="2" operator="equal" aboveAverage="0" equalAverage="0" bottom="0" percent="0" rank="0" text="" dxfId="3">
      <formula>"Critical"</formula>
    </cfRule>
    <cfRule type="cellIs" priority="3" operator="equal" aboveAverage="0" equalAverage="0" bottom="0" percent="0" rank="0" text="" dxfId="6">
      <formula>"High"</formula>
    </cfRule>
    <cfRule type="cellIs" priority="4" operator="equal" aboveAverage="0" equalAverage="0" bottom="0" percent="0" rank="0" text="" dxfId="7">
      <formula>"Medium"</formula>
    </cfRule>
    <cfRule type="cellIs" priority="5" operator="equal" aboveAverage="0" equalAverage="0" bottom="0" percent="0" rank="0" text="" dxfId="8">
      <formula>"Low"</formula>
    </cfRule>
  </conditionalFormatting>
  <conditionalFormatting sqref="H3:H22">
    <cfRule type="cellIs" priority="6" operator="equal" aboveAverage="0" equalAverage="0" bottom="0" percent="0" rank="0" text="" dxfId="3">
      <formula>"Critical"</formula>
    </cfRule>
    <cfRule type="cellIs" priority="7" operator="equal" aboveAverage="0" equalAverage="0" bottom="0" percent="0" rank="0" text="" dxfId="6">
      <formula>"High"</formula>
    </cfRule>
    <cfRule type="cellIs" priority="8" operator="equal" aboveAverage="0" equalAverage="0" bottom="0" percent="0" rank="0" text="" dxfId="7">
      <formula>"Medium"</formula>
    </cfRule>
    <cfRule type="cellIs" priority="9" operator="equal" aboveAverage="0" equalAverage="0" bottom="0" percent="0" rank="0" text="" dxfId="8">
      <formula>"Low"</formula>
    </cfRule>
  </conditionalFormatting>
  <dataValidations count="1">
    <dataValidation allowBlank="true" errorStyle="stop" operator="between" showDropDown="false" showErrorMessage="false" showInputMessage="false" sqref="J3:J22" type="list">
      <formula1>"Open,Mitigating,Accepted,Closed"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20"/>
    <col collapsed="false" customWidth="true" hidden="false" outlineLevel="0" max="4" min="4" style="1" width="18"/>
    <col collapsed="false" customWidth="true" hidden="false" outlineLevel="0" max="5" min="5" style="1" width="32"/>
    <col collapsed="false" customWidth="true" hidden="false" outlineLevel="0" max="6" min="6" style="1" width="12"/>
    <col collapsed="false" customWidth="true" hidden="false" outlineLevel="0" max="7" min="7" style="1" width="24"/>
    <col collapsed="false" customWidth="true" hidden="false" outlineLevel="0" max="8" min="8" style="1" width="28"/>
    <col collapsed="false" customWidth="true" hidden="false" outlineLevel="0" max="9" min="9" style="1" width="16"/>
    <col collapsed="false" customWidth="true" hidden="false" outlineLevel="0" max="10" min="10" style="1" width="12"/>
  </cols>
  <sheetData>
    <row r="1" customFormat="false" ht="24" hidden="false" customHeight="true" outlineLevel="0" collapsed="false">
      <c r="A1" s="60" t="s">
        <v>1608</v>
      </c>
      <c r="B1" s="60"/>
      <c r="C1" s="60"/>
      <c r="D1" s="60"/>
      <c r="E1" s="60"/>
      <c r="F1" s="60"/>
      <c r="G1" s="60"/>
      <c r="H1" s="60"/>
      <c r="I1" s="60"/>
      <c r="J1" s="60"/>
    </row>
    <row r="2" customFormat="false" ht="27.75" hidden="false" customHeight="true" outlineLevel="0" collapsed="false">
      <c r="A2" s="61" t="s">
        <v>1609</v>
      </c>
      <c r="B2" s="61" t="s">
        <v>1610</v>
      </c>
      <c r="C2" s="61" t="s">
        <v>1611</v>
      </c>
      <c r="D2" s="61" t="s">
        <v>1612</v>
      </c>
      <c r="E2" s="61" t="s">
        <v>1613</v>
      </c>
      <c r="F2" s="61" t="s">
        <v>1614</v>
      </c>
      <c r="G2" s="61" t="s">
        <v>1615</v>
      </c>
      <c r="H2" s="61" t="s">
        <v>1616</v>
      </c>
      <c r="I2" s="61" t="s">
        <v>209</v>
      </c>
      <c r="J2" s="61" t="s">
        <v>381</v>
      </c>
    </row>
    <row r="3" customFormat="false" ht="23.25" hidden="false" customHeight="true" outlineLevel="0" collapsed="false">
      <c r="A3" s="66" t="s">
        <v>1617</v>
      </c>
      <c r="B3" s="66" t="s">
        <v>1618</v>
      </c>
      <c r="C3" s="66" t="s">
        <v>1619</v>
      </c>
      <c r="D3" s="66" t="s">
        <v>1620</v>
      </c>
      <c r="E3" s="8" t="s">
        <v>1621</v>
      </c>
      <c r="F3" s="66" t="s">
        <v>128</v>
      </c>
      <c r="G3" s="8" t="s">
        <v>1622</v>
      </c>
      <c r="H3" s="8" t="s">
        <v>1623</v>
      </c>
      <c r="I3" s="66" t="s">
        <v>1624</v>
      </c>
      <c r="J3" s="66" t="s">
        <v>1625</v>
      </c>
    </row>
    <row r="4" customFormat="false" ht="23.25" hidden="false" customHeight="true" outlineLevel="0" collapsed="false">
      <c r="A4" s="66" t="s">
        <v>1626</v>
      </c>
      <c r="B4" s="66" t="s">
        <v>1627</v>
      </c>
      <c r="C4" s="66" t="s">
        <v>1628</v>
      </c>
      <c r="D4" s="66" t="s">
        <v>1629</v>
      </c>
      <c r="E4" s="8" t="s">
        <v>1630</v>
      </c>
      <c r="F4" s="66" t="s">
        <v>129</v>
      </c>
      <c r="G4" s="8" t="s">
        <v>1631</v>
      </c>
      <c r="H4" s="8" t="s">
        <v>1632</v>
      </c>
      <c r="I4" s="66" t="s">
        <v>389</v>
      </c>
      <c r="J4" s="66" t="s">
        <v>488</v>
      </c>
    </row>
    <row r="5" customFormat="false" ht="23.25" hidden="false" customHeight="true" outlineLevel="0" collapsed="false">
      <c r="A5" s="66" t="s">
        <v>1633</v>
      </c>
      <c r="B5" s="66" t="s">
        <v>1634</v>
      </c>
      <c r="C5" s="66" t="s">
        <v>1635</v>
      </c>
      <c r="D5" s="66" t="s">
        <v>1636</v>
      </c>
      <c r="E5" s="8" t="s">
        <v>1637</v>
      </c>
      <c r="F5" s="66" t="s">
        <v>129</v>
      </c>
      <c r="G5" s="8" t="s">
        <v>1638</v>
      </c>
      <c r="H5" s="8" t="s">
        <v>1639</v>
      </c>
      <c r="I5" s="66" t="s">
        <v>266</v>
      </c>
      <c r="J5" s="66" t="s">
        <v>1587</v>
      </c>
    </row>
    <row r="6" customFormat="false" ht="15" hidden="false" customHeight="true" outlineLevel="0" collapsed="false">
      <c r="A6" s="52"/>
      <c r="B6" s="52"/>
      <c r="C6" s="52"/>
      <c r="D6" s="52"/>
      <c r="E6" s="52"/>
      <c r="F6" s="52"/>
      <c r="G6" s="52"/>
      <c r="H6" s="52"/>
      <c r="I6" s="52"/>
      <c r="J6" s="52"/>
    </row>
    <row r="7" customFormat="false" ht="15" hidden="false" customHeight="true" outlineLevel="0" collapsed="false">
      <c r="A7" s="52"/>
      <c r="B7" s="52"/>
      <c r="C7" s="52"/>
      <c r="D7" s="52"/>
      <c r="E7" s="52"/>
      <c r="F7" s="52"/>
      <c r="G7" s="52"/>
      <c r="H7" s="52"/>
      <c r="I7" s="52"/>
      <c r="J7" s="52"/>
    </row>
    <row r="8" customFormat="false" ht="15" hidden="false" customHeight="true" outlineLevel="0" collapsed="false">
      <c r="A8" s="52"/>
      <c r="B8" s="52"/>
      <c r="C8" s="52"/>
      <c r="D8" s="52"/>
      <c r="E8" s="52"/>
      <c r="F8" s="52"/>
      <c r="G8" s="52"/>
      <c r="H8" s="52"/>
      <c r="I8" s="52"/>
      <c r="J8" s="52"/>
    </row>
    <row r="9" customFormat="false" ht="15" hidden="false" customHeight="true" outlineLevel="0" collapsed="false">
      <c r="A9" s="52"/>
      <c r="B9" s="52"/>
      <c r="C9" s="52"/>
      <c r="D9" s="52"/>
      <c r="E9" s="52"/>
      <c r="F9" s="52"/>
      <c r="G9" s="52"/>
      <c r="H9" s="52"/>
      <c r="I9" s="52"/>
      <c r="J9" s="52"/>
    </row>
    <row r="10" customFormat="false" ht="15" hidden="false" customHeight="true" outlineLevel="0" collapsed="false">
      <c r="A10" s="52"/>
      <c r="B10" s="52"/>
      <c r="C10" s="52"/>
      <c r="D10" s="52"/>
      <c r="E10" s="52"/>
      <c r="F10" s="52"/>
      <c r="G10" s="52"/>
      <c r="H10" s="52"/>
      <c r="I10" s="52"/>
      <c r="J10" s="52"/>
    </row>
    <row r="11" customFormat="false" ht="15" hidden="false" customHeight="true" outlineLevel="0" collapsed="false">
      <c r="A11" s="52"/>
      <c r="B11" s="52"/>
      <c r="C11" s="52"/>
      <c r="D11" s="52"/>
      <c r="E11" s="52"/>
      <c r="F11" s="52"/>
      <c r="G11" s="52"/>
      <c r="H11" s="52"/>
      <c r="I11" s="52"/>
      <c r="J11" s="52"/>
    </row>
    <row r="12" customFormat="false" ht="15" hidden="false" customHeight="true" outlineLevel="0" collapsed="false">
      <c r="A12" s="52"/>
      <c r="B12" s="52"/>
      <c r="C12" s="52"/>
      <c r="D12" s="52"/>
      <c r="E12" s="52"/>
      <c r="F12" s="52"/>
      <c r="G12" s="52"/>
      <c r="H12" s="52"/>
      <c r="I12" s="52"/>
      <c r="J12" s="52"/>
    </row>
    <row r="13" customFormat="false" ht="15" hidden="false" customHeight="true" outlineLevel="0" collapsed="false">
      <c r="A13" s="52"/>
      <c r="B13" s="52"/>
      <c r="C13" s="52"/>
      <c r="D13" s="52"/>
      <c r="E13" s="52"/>
      <c r="F13" s="52"/>
      <c r="G13" s="52"/>
      <c r="H13" s="52"/>
      <c r="I13" s="52"/>
      <c r="J13" s="52"/>
    </row>
    <row r="14" customFormat="false" ht="15" hidden="false" customHeight="true" outlineLevel="0" collapsed="false">
      <c r="A14" s="52"/>
      <c r="B14" s="52"/>
      <c r="C14" s="52"/>
      <c r="D14" s="52"/>
      <c r="E14" s="52"/>
      <c r="F14" s="52"/>
      <c r="G14" s="52"/>
      <c r="H14" s="52"/>
      <c r="I14" s="52"/>
      <c r="J14" s="52"/>
    </row>
    <row r="15" customFormat="false" ht="15" hidden="false" customHeight="true" outlineLevel="0" collapsed="false">
      <c r="A15" s="52"/>
      <c r="B15" s="52"/>
      <c r="C15" s="52"/>
      <c r="D15" s="52"/>
      <c r="E15" s="52"/>
      <c r="F15" s="52"/>
      <c r="G15" s="52"/>
      <c r="H15" s="52"/>
      <c r="I15" s="52"/>
      <c r="J15" s="52"/>
    </row>
    <row r="16" customFormat="false" ht="15" hidden="false" customHeight="true" outlineLevel="0" collapsed="false">
      <c r="A16" s="52"/>
      <c r="B16" s="52"/>
      <c r="C16" s="52"/>
      <c r="D16" s="52"/>
      <c r="E16" s="52"/>
      <c r="F16" s="52"/>
      <c r="G16" s="52"/>
      <c r="H16" s="52"/>
      <c r="I16" s="52"/>
      <c r="J16" s="52"/>
    </row>
    <row r="17" customFormat="false" ht="15" hidden="false" customHeight="true" outlineLevel="0" collapsed="false">
      <c r="A17" s="52"/>
      <c r="B17" s="52"/>
      <c r="C17" s="52"/>
      <c r="D17" s="52"/>
      <c r="E17" s="52"/>
      <c r="F17" s="52"/>
      <c r="G17" s="52"/>
      <c r="H17" s="52"/>
      <c r="I17" s="52"/>
      <c r="J17" s="52"/>
    </row>
    <row r="18" customFormat="false" ht="15" hidden="false" customHeight="true" outlineLevel="0" collapsed="false">
      <c r="A18" s="52"/>
      <c r="B18" s="52"/>
      <c r="C18" s="52"/>
      <c r="D18" s="52"/>
      <c r="E18" s="52"/>
      <c r="F18" s="52"/>
      <c r="G18" s="52"/>
      <c r="H18" s="52"/>
      <c r="I18" s="52"/>
      <c r="J18" s="52"/>
    </row>
    <row r="19" customFormat="false" ht="15" hidden="false" customHeight="true" outlineLevel="0" collapsed="false">
      <c r="A19" s="52"/>
      <c r="B19" s="52"/>
      <c r="C19" s="52"/>
      <c r="D19" s="52"/>
      <c r="E19" s="52"/>
      <c r="F19" s="52"/>
      <c r="G19" s="52"/>
      <c r="H19" s="52"/>
      <c r="I19" s="52"/>
      <c r="J19" s="52"/>
    </row>
    <row r="20" customFormat="false" ht="15" hidden="false" customHeight="true" outlineLevel="0" collapsed="false">
      <c r="A20" s="52"/>
      <c r="B20" s="52"/>
      <c r="C20" s="52"/>
      <c r="D20" s="52"/>
      <c r="E20" s="52"/>
      <c r="F20" s="52"/>
      <c r="G20" s="52"/>
      <c r="H20" s="52"/>
      <c r="I20" s="52"/>
      <c r="J20" s="52"/>
    </row>
  </sheetData>
  <mergeCells count="1">
    <mergeCell ref="A1:J1"/>
  </mergeCells>
  <conditionalFormatting sqref="F3:F20">
    <cfRule type="cellIs" priority="2" operator="equal" aboveAverage="0" equalAverage="0" bottom="0" percent="0" rank="0" text="" dxfId="3">
      <formula>"Critical"</formula>
    </cfRule>
    <cfRule type="cellIs" priority="3" operator="equal" aboveAverage="0" equalAverage="0" bottom="0" percent="0" rank="0" text="" dxfId="6">
      <formula>"High"</formula>
    </cfRule>
    <cfRule type="cellIs" priority="4" operator="equal" aboveAverage="0" equalAverage="0" bottom="0" percent="0" rank="0" text="" dxfId="7">
      <formula>"Medium"</formula>
    </cfRule>
    <cfRule type="cellIs" priority="5" operator="equal" aboveAverage="0" equalAverage="0" bottom="0" percent="0" rank="0" text="" dxfId="16">
      <formula>"Low"</formula>
    </cfRule>
  </conditionalFormatting>
  <dataValidations count="3">
    <dataValidation allowBlank="true" errorStyle="stop" operator="between" showDropDown="false" showErrorMessage="false" showInputMessage="false" sqref="D3:D20" type="list">
      <formula1>"Hallucination,Bias,Security,Drift,Incorrect Output,Availability,Privacy,Other"</formula1>
      <formula2>0</formula2>
    </dataValidation>
    <dataValidation allowBlank="true" errorStyle="stop" operator="between" showDropDown="false" showErrorMessage="false" showInputMessage="false" sqref="F3:F20" type="list">
      <formula1>"Critical,High,Medium,Low"</formula1>
      <formula2>0</formula2>
    </dataValidation>
    <dataValidation allowBlank="true" errorStyle="stop" operator="between" showDropDown="false" showErrorMessage="false" showInputMessage="false" sqref="J3:J20"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30"/>
    <col collapsed="false" customWidth="true" hidden="false" outlineLevel="0" max="4" min="4" style="1" width="26"/>
    <col collapsed="false" customWidth="true" hidden="false" outlineLevel="0" max="5" min="5" style="1" width="28"/>
    <col collapsed="false" customWidth="true" hidden="false" outlineLevel="0" max="6" min="6" style="1" width="16"/>
    <col collapsed="false" customWidth="true" hidden="false" outlineLevel="0" max="8" min="7" style="1" width="13"/>
    <col collapsed="false" customWidth="true" hidden="false" outlineLevel="0" max="9" min="9" style="1" width="12"/>
  </cols>
  <sheetData>
    <row r="1" customFormat="false" ht="24" hidden="false" customHeight="true" outlineLevel="0" collapsed="false">
      <c r="A1" s="60" t="s">
        <v>1640</v>
      </c>
      <c r="B1" s="60"/>
      <c r="C1" s="60"/>
      <c r="D1" s="60"/>
      <c r="E1" s="60"/>
      <c r="F1" s="60"/>
      <c r="G1" s="60"/>
      <c r="H1" s="60"/>
      <c r="I1" s="60"/>
    </row>
    <row r="2" customFormat="false" ht="27.75" hidden="false" customHeight="true" outlineLevel="0" collapsed="false">
      <c r="A2" s="61" t="s">
        <v>1641</v>
      </c>
      <c r="B2" s="61" t="s">
        <v>1642</v>
      </c>
      <c r="C2" s="61" t="s">
        <v>1643</v>
      </c>
      <c r="D2" s="61" t="s">
        <v>1644</v>
      </c>
      <c r="E2" s="61" t="s">
        <v>1645</v>
      </c>
      <c r="F2" s="61" t="s">
        <v>1646</v>
      </c>
      <c r="G2" s="61" t="s">
        <v>1647</v>
      </c>
      <c r="H2" s="61" t="s">
        <v>1648</v>
      </c>
      <c r="I2" s="61" t="s">
        <v>381</v>
      </c>
    </row>
    <row r="3" customFormat="false" ht="23.25" hidden="false" customHeight="true" outlineLevel="0" collapsed="false">
      <c r="A3" s="66" t="s">
        <v>1649</v>
      </c>
      <c r="B3" s="66" t="s">
        <v>1650</v>
      </c>
      <c r="C3" s="8" t="s">
        <v>1651</v>
      </c>
      <c r="D3" s="8" t="s">
        <v>1652</v>
      </c>
      <c r="E3" s="8" t="s">
        <v>1653</v>
      </c>
      <c r="F3" s="66" t="s">
        <v>1654</v>
      </c>
      <c r="G3" s="66" t="s">
        <v>1655</v>
      </c>
      <c r="H3" s="66" t="s">
        <v>1656</v>
      </c>
      <c r="I3" s="66" t="s">
        <v>1587</v>
      </c>
    </row>
    <row r="4" customFormat="false" ht="23.25" hidden="false" customHeight="true" outlineLevel="0" collapsed="false">
      <c r="A4" s="66" t="s">
        <v>1657</v>
      </c>
      <c r="B4" s="66" t="s">
        <v>1658</v>
      </c>
      <c r="C4" s="8" t="s">
        <v>1659</v>
      </c>
      <c r="D4" s="8" t="s">
        <v>1660</v>
      </c>
      <c r="E4" s="8" t="s">
        <v>1661</v>
      </c>
      <c r="F4" s="66" t="s">
        <v>1662</v>
      </c>
      <c r="G4" s="66" t="s">
        <v>1663</v>
      </c>
      <c r="H4" s="66" t="s">
        <v>1664</v>
      </c>
      <c r="I4" s="66" t="s">
        <v>1587</v>
      </c>
    </row>
    <row r="5" customFormat="false" ht="15" hidden="false" customHeight="true" outlineLevel="0" collapsed="false">
      <c r="A5" s="52"/>
      <c r="B5" s="52"/>
      <c r="C5" s="52"/>
      <c r="D5" s="52"/>
      <c r="E5" s="52"/>
      <c r="F5" s="52"/>
      <c r="G5" s="52"/>
      <c r="H5" s="52"/>
      <c r="I5" s="52"/>
    </row>
    <row r="6" customFormat="false" ht="15" hidden="false" customHeight="true" outlineLevel="0" collapsed="false">
      <c r="A6" s="52"/>
      <c r="B6" s="52"/>
      <c r="C6" s="52"/>
      <c r="D6" s="52"/>
      <c r="E6" s="52"/>
      <c r="F6" s="52"/>
      <c r="G6" s="52"/>
      <c r="H6" s="52"/>
      <c r="I6" s="52"/>
    </row>
    <row r="7" customFormat="false" ht="15" hidden="false" customHeight="true" outlineLevel="0" collapsed="false">
      <c r="A7" s="52"/>
      <c r="B7" s="52"/>
      <c r="C7" s="52"/>
      <c r="D7" s="52"/>
      <c r="E7" s="52"/>
      <c r="F7" s="52"/>
      <c r="G7" s="52"/>
      <c r="H7" s="52"/>
      <c r="I7" s="52"/>
    </row>
    <row r="8" customFormat="false" ht="15" hidden="false" customHeight="true" outlineLevel="0" collapsed="false">
      <c r="A8" s="52"/>
      <c r="B8" s="52"/>
      <c r="C8" s="52"/>
      <c r="D8" s="52"/>
      <c r="E8" s="52"/>
      <c r="F8" s="52"/>
      <c r="G8" s="52"/>
      <c r="H8" s="52"/>
      <c r="I8" s="52"/>
    </row>
    <row r="9" customFormat="false" ht="15" hidden="false" customHeight="true" outlineLevel="0" collapsed="false">
      <c r="A9" s="52"/>
      <c r="B9" s="52"/>
      <c r="C9" s="52"/>
      <c r="D9" s="52"/>
      <c r="E9" s="52"/>
      <c r="F9" s="52"/>
      <c r="G9" s="52"/>
      <c r="H9" s="52"/>
      <c r="I9" s="52"/>
    </row>
    <row r="10" customFormat="false" ht="15" hidden="false" customHeight="true" outlineLevel="0" collapsed="false">
      <c r="A10" s="52"/>
      <c r="B10" s="52"/>
      <c r="C10" s="52"/>
      <c r="D10" s="52"/>
      <c r="E10" s="52"/>
      <c r="F10" s="52"/>
      <c r="G10" s="52"/>
      <c r="H10" s="52"/>
      <c r="I10" s="52"/>
    </row>
    <row r="11" customFormat="false" ht="15" hidden="false" customHeight="true" outlineLevel="0" collapsed="false">
      <c r="A11" s="52"/>
      <c r="B11" s="52"/>
      <c r="C11" s="52"/>
      <c r="D11" s="52"/>
      <c r="E11" s="52"/>
      <c r="F11" s="52"/>
      <c r="G11" s="52"/>
      <c r="H11" s="52"/>
      <c r="I11" s="52"/>
    </row>
    <row r="12" customFormat="false" ht="15" hidden="false" customHeight="true" outlineLevel="0" collapsed="false">
      <c r="A12" s="52"/>
      <c r="B12" s="52"/>
      <c r="C12" s="52"/>
      <c r="D12" s="52"/>
      <c r="E12" s="52"/>
      <c r="F12" s="52"/>
      <c r="G12" s="52"/>
      <c r="H12" s="52"/>
      <c r="I12" s="52"/>
    </row>
    <row r="13" customFormat="false" ht="15" hidden="false" customHeight="true" outlineLevel="0" collapsed="false">
      <c r="A13" s="52"/>
      <c r="B13" s="52"/>
      <c r="C13" s="52"/>
      <c r="D13" s="52"/>
      <c r="E13" s="52"/>
      <c r="F13" s="52"/>
      <c r="G13" s="52"/>
      <c r="H13" s="52"/>
      <c r="I13" s="52"/>
    </row>
    <row r="14" customFormat="false" ht="15" hidden="false" customHeight="true" outlineLevel="0" collapsed="false">
      <c r="A14" s="52"/>
      <c r="B14" s="52"/>
      <c r="C14" s="52"/>
      <c r="D14" s="52"/>
      <c r="E14" s="52"/>
      <c r="F14" s="52"/>
      <c r="G14" s="52"/>
      <c r="H14" s="52"/>
      <c r="I14" s="52"/>
    </row>
    <row r="15" customFormat="false" ht="15" hidden="false" customHeight="true" outlineLevel="0" collapsed="false">
      <c r="A15" s="52"/>
      <c r="B15" s="52"/>
      <c r="C15" s="52"/>
      <c r="D15" s="52"/>
      <c r="E15" s="52"/>
      <c r="F15" s="52"/>
      <c r="G15" s="52"/>
      <c r="H15" s="52"/>
      <c r="I15" s="52"/>
    </row>
    <row r="16" customFormat="false" ht="15" hidden="false" customHeight="true" outlineLevel="0" collapsed="false">
      <c r="A16" s="52"/>
      <c r="B16" s="52"/>
      <c r="C16" s="52"/>
      <c r="D16" s="52"/>
      <c r="E16" s="52"/>
      <c r="F16" s="52"/>
      <c r="G16" s="52"/>
      <c r="H16" s="52"/>
      <c r="I16" s="52"/>
    </row>
    <row r="17" customFormat="false" ht="15" hidden="false" customHeight="true" outlineLevel="0" collapsed="false">
      <c r="A17" s="52"/>
      <c r="B17" s="52"/>
      <c r="C17" s="52"/>
      <c r="D17" s="52"/>
      <c r="E17" s="52"/>
      <c r="F17" s="52"/>
      <c r="G17" s="52"/>
      <c r="H17" s="52"/>
      <c r="I17" s="52"/>
    </row>
    <row r="18" customFormat="false" ht="15" hidden="false" customHeight="true" outlineLevel="0" collapsed="false">
      <c r="A18" s="52"/>
      <c r="B18" s="52"/>
      <c r="C18" s="52"/>
      <c r="D18" s="52"/>
      <c r="E18" s="52"/>
      <c r="F18" s="52"/>
      <c r="G18" s="52"/>
      <c r="H18" s="52"/>
      <c r="I18" s="52"/>
    </row>
    <row r="19" customFormat="false" ht="15" hidden="false" customHeight="true" outlineLevel="0" collapsed="false">
      <c r="A19" s="52"/>
      <c r="B19" s="52"/>
      <c r="C19" s="52"/>
      <c r="D19" s="52"/>
      <c r="E19" s="52"/>
      <c r="F19" s="52"/>
      <c r="G19" s="52"/>
      <c r="H19" s="52"/>
      <c r="I19" s="52"/>
    </row>
    <row r="21" customFormat="false" ht="15" hidden="false" customHeight="true" outlineLevel="0" collapsed="false">
      <c r="A21" s="58" t="s">
        <v>1665</v>
      </c>
      <c r="B21" s="58"/>
      <c r="C21" s="58"/>
      <c r="D21" s="58"/>
      <c r="E21" s="58"/>
      <c r="F21" s="58"/>
      <c r="G21" s="58"/>
      <c r="H21" s="58"/>
      <c r="I21" s="58"/>
    </row>
  </sheetData>
  <mergeCells count="2">
    <mergeCell ref="A1:I1"/>
    <mergeCell ref="A21:I21"/>
  </mergeCells>
  <conditionalFormatting sqref="I3:I21">
    <cfRule type="cellIs" priority="2" operator="equal" aboveAverage="0" equalAverage="0" bottom="0" percent="0" rank="0" text="" dxfId="5">
      <formula>"Open"</formula>
    </cfRule>
    <cfRule type="cellIs" priority="3" operator="equal" aboveAverage="0" equalAverage="0" bottom="0" percent="0" rank="0" text="" dxfId="3">
      <formula>"Expired"</formula>
    </cfRule>
    <cfRule type="cellIs" priority="4" operator="equal" aboveAverage="0" equalAverage="0" bottom="0" percent="0" rank="0" text="" dxfId="2">
      <formula>"Closed"</formula>
    </cfRule>
    <cfRule type="cellIs" priority="5" operator="equal" aboveAverage="0" equalAverage="0" bottom="0" percent="0" rank="0" text="" dxfId="1">
      <formula>"Renewed"</formula>
    </cfRule>
  </conditionalFormatting>
  <dataValidations count="1">
    <dataValidation allowBlank="true" errorStyle="stop" operator="between" showDropDown="false" showErrorMessage="false" showInputMessage="false" sqref="I3:I19" type="list">
      <formula1>"Open,Expired,Closed,Renewed"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6"/>
    <col collapsed="false" customWidth="true" hidden="false" outlineLevel="0" max="3" min="3" style="1" width="28"/>
    <col collapsed="false" customWidth="true" hidden="false" outlineLevel="0" max="4" min="4" style="1" width="40"/>
    <col collapsed="false" customWidth="true" hidden="false" outlineLevel="0" max="5" min="5" style="1" width="12"/>
    <col collapsed="false" customWidth="true" hidden="false" outlineLevel="0" max="6" min="6" style="1" width="26"/>
    <col collapsed="false" customWidth="true" hidden="false" outlineLevel="0" max="7" min="7" style="1" width="24"/>
    <col collapsed="false" customWidth="true" hidden="false" outlineLevel="0" max="8" min="8" style="1" width="16"/>
    <col collapsed="false" customWidth="true" hidden="false" outlineLevel="0" max="9" min="9" style="1" width="14"/>
    <col collapsed="false" customWidth="true" hidden="false" outlineLevel="0" max="10" min="10" style="1" width="16"/>
  </cols>
  <sheetData>
    <row r="1" customFormat="false" ht="24" hidden="false" customHeight="true" outlineLevel="0" collapsed="false">
      <c r="A1" s="60" t="s">
        <v>1666</v>
      </c>
      <c r="B1" s="60"/>
      <c r="C1" s="60"/>
      <c r="D1" s="60"/>
      <c r="E1" s="60"/>
      <c r="F1" s="60"/>
      <c r="G1" s="60"/>
      <c r="H1" s="60"/>
      <c r="I1" s="60"/>
    </row>
    <row r="2" customFormat="false" ht="27.75" hidden="false" customHeight="true" outlineLevel="0" collapsed="false">
      <c r="A2" s="61" t="s">
        <v>1667</v>
      </c>
      <c r="B2" s="61" t="s">
        <v>111</v>
      </c>
      <c r="C2" s="61" t="s">
        <v>1668</v>
      </c>
      <c r="D2" s="61" t="s">
        <v>1669</v>
      </c>
      <c r="E2" s="61" t="s">
        <v>1612</v>
      </c>
      <c r="F2" s="61" t="s">
        <v>1670</v>
      </c>
      <c r="G2" s="61" t="s">
        <v>1671</v>
      </c>
      <c r="H2" s="61" t="s">
        <v>209</v>
      </c>
      <c r="I2" s="61" t="s">
        <v>1672</v>
      </c>
      <c r="J2" s="72" t="s">
        <v>381</v>
      </c>
    </row>
    <row r="3" customFormat="false" ht="23.25" hidden="false" customHeight="true" outlineLevel="0" collapsed="false">
      <c r="A3" s="65" t="s">
        <v>1673</v>
      </c>
      <c r="B3" s="73" t="s">
        <v>1601</v>
      </c>
      <c r="C3" s="8" t="s">
        <v>1674</v>
      </c>
      <c r="D3" s="8" t="s">
        <v>1675</v>
      </c>
      <c r="E3" s="66" t="s">
        <v>1676</v>
      </c>
      <c r="F3" s="8" t="s">
        <v>1677</v>
      </c>
      <c r="G3" s="8" t="s">
        <v>167</v>
      </c>
      <c r="H3" s="74" t="s">
        <v>221</v>
      </c>
      <c r="I3" s="74" t="s">
        <v>1678</v>
      </c>
      <c r="J3" s="75" t="s">
        <v>1679</v>
      </c>
    </row>
    <row r="4" customFormat="false" ht="23.25" hidden="false" customHeight="true" outlineLevel="0" collapsed="false">
      <c r="A4" s="65" t="s">
        <v>224</v>
      </c>
      <c r="B4" s="73" t="s">
        <v>1601</v>
      </c>
      <c r="C4" s="8" t="s">
        <v>1680</v>
      </c>
      <c r="D4" s="8" t="s">
        <v>1681</v>
      </c>
      <c r="E4" s="66" t="s">
        <v>1676</v>
      </c>
      <c r="F4" s="8" t="s">
        <v>1682</v>
      </c>
      <c r="G4" s="8" t="s">
        <v>176</v>
      </c>
      <c r="H4" s="74" t="s">
        <v>221</v>
      </c>
      <c r="I4" s="74" t="s">
        <v>409</v>
      </c>
      <c r="J4" s="75" t="s">
        <v>1679</v>
      </c>
    </row>
    <row r="5" customFormat="false" ht="23.25" hidden="false" customHeight="true" outlineLevel="0" collapsed="false">
      <c r="A5" s="65" t="s">
        <v>1683</v>
      </c>
      <c r="B5" s="73" t="s">
        <v>1601</v>
      </c>
      <c r="C5" s="8" t="s">
        <v>1684</v>
      </c>
      <c r="D5" s="8" t="s">
        <v>1685</v>
      </c>
      <c r="E5" s="66" t="s">
        <v>1676</v>
      </c>
      <c r="F5" s="8" t="s">
        <v>1686</v>
      </c>
      <c r="G5" s="8" t="s">
        <v>1687</v>
      </c>
      <c r="H5" s="74" t="s">
        <v>221</v>
      </c>
      <c r="I5" s="74" t="s">
        <v>1678</v>
      </c>
      <c r="J5" s="75" t="s">
        <v>1679</v>
      </c>
    </row>
    <row r="6" customFormat="false" ht="15" hidden="false" customHeight="true" outlineLevel="0" collapsed="false">
      <c r="A6" s="65" t="s">
        <v>1688</v>
      </c>
      <c r="B6" s="73" t="s">
        <v>1601</v>
      </c>
      <c r="C6" s="8" t="s">
        <v>1689</v>
      </c>
      <c r="D6" s="8" t="s">
        <v>1690</v>
      </c>
      <c r="E6" s="66" t="s">
        <v>1676</v>
      </c>
      <c r="F6" s="8" t="s">
        <v>245</v>
      </c>
      <c r="G6" s="8" t="s">
        <v>167</v>
      </c>
      <c r="H6" s="74" t="s">
        <v>1691</v>
      </c>
      <c r="I6" s="74" t="s">
        <v>1692</v>
      </c>
      <c r="J6" s="75" t="s">
        <v>1679</v>
      </c>
    </row>
    <row r="7" customFormat="false" ht="23.25" hidden="false" customHeight="true" outlineLevel="0" collapsed="false">
      <c r="A7" s="65" t="s">
        <v>285</v>
      </c>
      <c r="B7" s="73" t="s">
        <v>1601</v>
      </c>
      <c r="C7" s="8" t="s">
        <v>1693</v>
      </c>
      <c r="D7" s="8" t="s">
        <v>1694</v>
      </c>
      <c r="E7" s="66" t="s">
        <v>1676</v>
      </c>
      <c r="F7" s="8" t="s">
        <v>1695</v>
      </c>
      <c r="G7" s="8" t="s">
        <v>1696</v>
      </c>
      <c r="H7" s="74" t="s">
        <v>1697</v>
      </c>
      <c r="I7" s="74" t="s">
        <v>63</v>
      </c>
      <c r="J7" s="75" t="s">
        <v>1679</v>
      </c>
    </row>
    <row r="8" customFormat="false" ht="23.25" hidden="false" customHeight="true" outlineLevel="0" collapsed="false">
      <c r="A8" s="65" t="s">
        <v>229</v>
      </c>
      <c r="B8" s="73" t="s">
        <v>1601</v>
      </c>
      <c r="C8" s="8" t="s">
        <v>1698</v>
      </c>
      <c r="D8" s="8" t="s">
        <v>1699</v>
      </c>
      <c r="E8" s="66" t="s">
        <v>1700</v>
      </c>
      <c r="F8" s="8" t="s">
        <v>1701</v>
      </c>
      <c r="G8" s="8" t="s">
        <v>1702</v>
      </c>
      <c r="H8" s="74" t="s">
        <v>1703</v>
      </c>
      <c r="I8" s="74" t="s">
        <v>409</v>
      </c>
      <c r="J8" s="75" t="s">
        <v>1679</v>
      </c>
    </row>
    <row r="9" customFormat="false" ht="23.25" hidden="false" customHeight="true" outlineLevel="0" collapsed="false">
      <c r="A9" s="65" t="s">
        <v>1704</v>
      </c>
      <c r="B9" s="73" t="s">
        <v>1601</v>
      </c>
      <c r="C9" s="8" t="s">
        <v>1521</v>
      </c>
      <c r="D9" s="8" t="s">
        <v>1705</v>
      </c>
      <c r="E9" s="66" t="s">
        <v>1706</v>
      </c>
      <c r="F9" s="8" t="s">
        <v>1707</v>
      </c>
      <c r="G9" s="8" t="s">
        <v>176</v>
      </c>
      <c r="H9" s="74" t="s">
        <v>221</v>
      </c>
      <c r="I9" s="74" t="s">
        <v>1708</v>
      </c>
      <c r="J9" s="75" t="s">
        <v>1679</v>
      </c>
    </row>
    <row r="10" customFormat="false" ht="23.25" hidden="false" customHeight="true" outlineLevel="0" collapsed="false">
      <c r="A10" s="65" t="s">
        <v>1709</v>
      </c>
      <c r="B10" s="73" t="s">
        <v>1601</v>
      </c>
      <c r="C10" s="8" t="s">
        <v>1710</v>
      </c>
      <c r="D10" s="8" t="s">
        <v>1711</v>
      </c>
      <c r="E10" s="66" t="s">
        <v>1676</v>
      </c>
      <c r="F10" s="8" t="s">
        <v>1712</v>
      </c>
      <c r="G10" s="8" t="s">
        <v>174</v>
      </c>
      <c r="H10" s="74" t="s">
        <v>1597</v>
      </c>
      <c r="I10" s="74" t="s">
        <v>1678</v>
      </c>
      <c r="J10" s="75" t="s">
        <v>1679</v>
      </c>
    </row>
    <row r="11" customFormat="false" ht="23.25" hidden="false" customHeight="true" outlineLevel="0" collapsed="false">
      <c r="A11" s="67" t="s">
        <v>1713</v>
      </c>
      <c r="B11" s="76" t="s">
        <v>1714</v>
      </c>
      <c r="C11" s="8" t="s">
        <v>1715</v>
      </c>
      <c r="D11" s="8" t="s">
        <v>1716</v>
      </c>
      <c r="E11" s="66" t="s">
        <v>1700</v>
      </c>
      <c r="F11" s="8" t="s">
        <v>1717</v>
      </c>
      <c r="G11" s="8" t="s">
        <v>173</v>
      </c>
      <c r="H11" s="74" t="s">
        <v>1718</v>
      </c>
      <c r="I11" s="74" t="s">
        <v>1719</v>
      </c>
      <c r="J11" s="75" t="s">
        <v>1679</v>
      </c>
    </row>
    <row r="12" customFormat="false" ht="23.25" hidden="false" customHeight="true" outlineLevel="0" collapsed="false">
      <c r="A12" s="67" t="s">
        <v>1720</v>
      </c>
      <c r="B12" s="76" t="s">
        <v>1714</v>
      </c>
      <c r="C12" s="8" t="s">
        <v>1426</v>
      </c>
      <c r="D12" s="8" t="s">
        <v>1721</v>
      </c>
      <c r="E12" s="66" t="s">
        <v>1700</v>
      </c>
      <c r="F12" s="8" t="s">
        <v>1722</v>
      </c>
      <c r="G12" s="8" t="s">
        <v>173</v>
      </c>
      <c r="H12" s="74" t="s">
        <v>1718</v>
      </c>
      <c r="I12" s="74" t="s">
        <v>409</v>
      </c>
      <c r="J12" s="75" t="s">
        <v>1679</v>
      </c>
    </row>
    <row r="13" customFormat="false" ht="23.25" hidden="false" customHeight="true" outlineLevel="0" collapsed="false">
      <c r="A13" s="67" t="s">
        <v>1723</v>
      </c>
      <c r="B13" s="76" t="s">
        <v>1714</v>
      </c>
      <c r="C13" s="8" t="s">
        <v>1429</v>
      </c>
      <c r="D13" s="8" t="s">
        <v>1724</v>
      </c>
      <c r="E13" s="66" t="s">
        <v>1676</v>
      </c>
      <c r="F13" s="8" t="s">
        <v>1722</v>
      </c>
      <c r="G13" s="8" t="s">
        <v>173</v>
      </c>
      <c r="H13" s="74" t="s">
        <v>1718</v>
      </c>
      <c r="I13" s="74" t="s">
        <v>409</v>
      </c>
      <c r="J13" s="75" t="s">
        <v>1679</v>
      </c>
    </row>
    <row r="14" customFormat="false" ht="15" hidden="false" customHeight="true" outlineLevel="0" collapsed="false">
      <c r="A14" s="67" t="s">
        <v>1725</v>
      </c>
      <c r="B14" s="76" t="s">
        <v>1714</v>
      </c>
      <c r="C14" s="8" t="s">
        <v>1726</v>
      </c>
      <c r="D14" s="8" t="s">
        <v>1727</v>
      </c>
      <c r="E14" s="66" t="s">
        <v>1676</v>
      </c>
      <c r="F14" s="8" t="s">
        <v>1728</v>
      </c>
      <c r="G14" s="8" t="s">
        <v>177</v>
      </c>
      <c r="H14" s="74" t="s">
        <v>1729</v>
      </c>
      <c r="I14" s="74" t="s">
        <v>1692</v>
      </c>
      <c r="J14" s="75" t="s">
        <v>1679</v>
      </c>
    </row>
    <row r="15" customFormat="false" ht="23.25" hidden="false" customHeight="true" outlineLevel="0" collapsed="false">
      <c r="A15" s="67" t="s">
        <v>1730</v>
      </c>
      <c r="B15" s="76" t="s">
        <v>1714</v>
      </c>
      <c r="C15" s="8" t="s">
        <v>1731</v>
      </c>
      <c r="D15" s="8" t="s">
        <v>1732</v>
      </c>
      <c r="E15" s="66" t="s">
        <v>1676</v>
      </c>
      <c r="F15" s="8" t="s">
        <v>1733</v>
      </c>
      <c r="G15" s="8" t="s">
        <v>177</v>
      </c>
      <c r="H15" s="74" t="s">
        <v>1734</v>
      </c>
      <c r="I15" s="74" t="s">
        <v>409</v>
      </c>
      <c r="J15" s="75" t="s">
        <v>1679</v>
      </c>
    </row>
    <row r="16" customFormat="false" ht="23.25" hidden="false" customHeight="true" outlineLevel="0" collapsed="false">
      <c r="A16" s="67" t="s">
        <v>1735</v>
      </c>
      <c r="B16" s="76" t="s">
        <v>1714</v>
      </c>
      <c r="C16" s="8" t="s">
        <v>1439</v>
      </c>
      <c r="D16" s="8" t="s">
        <v>1736</v>
      </c>
      <c r="E16" s="66" t="s">
        <v>1676</v>
      </c>
      <c r="F16" s="8" t="s">
        <v>1722</v>
      </c>
      <c r="G16" s="8" t="s">
        <v>173</v>
      </c>
      <c r="H16" s="74" t="s">
        <v>1737</v>
      </c>
      <c r="I16" s="74" t="s">
        <v>409</v>
      </c>
      <c r="J16" s="75" t="s">
        <v>1679</v>
      </c>
    </row>
    <row r="17" customFormat="false" ht="23.25" hidden="false" customHeight="true" outlineLevel="0" collapsed="false">
      <c r="A17" s="67" t="s">
        <v>1738</v>
      </c>
      <c r="B17" s="76" t="s">
        <v>1714</v>
      </c>
      <c r="C17" s="8" t="s">
        <v>1447</v>
      </c>
      <c r="D17" s="8" t="s">
        <v>1739</v>
      </c>
      <c r="E17" s="66" t="s">
        <v>1676</v>
      </c>
      <c r="F17" s="8" t="s">
        <v>1740</v>
      </c>
      <c r="G17" s="8" t="s">
        <v>177</v>
      </c>
      <c r="H17" s="74" t="s">
        <v>1741</v>
      </c>
      <c r="I17" s="74" t="s">
        <v>1692</v>
      </c>
      <c r="J17" s="75" t="s">
        <v>1679</v>
      </c>
    </row>
    <row r="18" customFormat="false" ht="15" hidden="false" customHeight="true" outlineLevel="0" collapsed="false">
      <c r="A18" s="67" t="s">
        <v>1742</v>
      </c>
      <c r="B18" s="76" t="s">
        <v>1714</v>
      </c>
      <c r="C18" s="8" t="s">
        <v>1441</v>
      </c>
      <c r="D18" s="8" t="s">
        <v>1743</v>
      </c>
      <c r="E18" s="66" t="s">
        <v>1676</v>
      </c>
      <c r="F18" s="8" t="s">
        <v>1722</v>
      </c>
      <c r="G18" s="8" t="s">
        <v>173</v>
      </c>
      <c r="H18" s="74" t="s">
        <v>1734</v>
      </c>
      <c r="I18" s="74" t="s">
        <v>1678</v>
      </c>
      <c r="J18" s="75" t="s">
        <v>1679</v>
      </c>
    </row>
    <row r="19" customFormat="false" ht="15" hidden="false" customHeight="true" outlineLevel="0" collapsed="false">
      <c r="A19" s="77" t="s">
        <v>1744</v>
      </c>
      <c r="B19" s="78" t="s">
        <v>1288</v>
      </c>
      <c r="C19" s="8" t="s">
        <v>1745</v>
      </c>
      <c r="D19" s="8" t="s">
        <v>1746</v>
      </c>
      <c r="E19" s="66" t="s">
        <v>1676</v>
      </c>
      <c r="F19" s="8" t="s">
        <v>1747</v>
      </c>
      <c r="G19" s="8" t="s">
        <v>172</v>
      </c>
      <c r="H19" s="74" t="s">
        <v>1748</v>
      </c>
      <c r="I19" s="74" t="s">
        <v>1719</v>
      </c>
      <c r="J19" s="75" t="s">
        <v>1679</v>
      </c>
    </row>
    <row r="20" customFormat="false" ht="15" hidden="false" customHeight="true" outlineLevel="0" collapsed="false">
      <c r="A20" s="77" t="s">
        <v>1749</v>
      </c>
      <c r="B20" s="78" t="s">
        <v>1288</v>
      </c>
      <c r="C20" s="8" t="s">
        <v>1750</v>
      </c>
      <c r="D20" s="8" t="s">
        <v>1751</v>
      </c>
      <c r="E20" s="66" t="s">
        <v>1676</v>
      </c>
      <c r="F20" s="8" t="s">
        <v>1752</v>
      </c>
      <c r="G20" s="8" t="s">
        <v>172</v>
      </c>
      <c r="H20" s="74" t="s">
        <v>1288</v>
      </c>
      <c r="I20" s="74" t="s">
        <v>1719</v>
      </c>
      <c r="J20" s="75" t="s">
        <v>1679</v>
      </c>
    </row>
    <row r="21" customFormat="false" ht="15" hidden="false" customHeight="true" outlineLevel="0" collapsed="false">
      <c r="A21" s="77" t="s">
        <v>1753</v>
      </c>
      <c r="B21" s="78" t="s">
        <v>1288</v>
      </c>
      <c r="C21" s="8" t="s">
        <v>1754</v>
      </c>
      <c r="D21" s="8" t="s">
        <v>1755</v>
      </c>
      <c r="E21" s="66" t="s">
        <v>1700</v>
      </c>
      <c r="F21" s="8" t="s">
        <v>1756</v>
      </c>
      <c r="G21" s="8" t="s">
        <v>172</v>
      </c>
      <c r="H21" s="74" t="s">
        <v>1288</v>
      </c>
      <c r="I21" s="74" t="s">
        <v>1692</v>
      </c>
      <c r="J21" s="75" t="s">
        <v>1679</v>
      </c>
    </row>
    <row r="22" customFormat="false" ht="15" hidden="false" customHeight="true" outlineLevel="0" collapsed="false">
      <c r="A22" s="77" t="s">
        <v>1757</v>
      </c>
      <c r="B22" s="78" t="s">
        <v>1288</v>
      </c>
      <c r="C22" s="8" t="s">
        <v>1758</v>
      </c>
      <c r="D22" s="8" t="s">
        <v>1759</v>
      </c>
      <c r="E22" s="66" t="s">
        <v>1700</v>
      </c>
      <c r="F22" s="8" t="s">
        <v>1760</v>
      </c>
      <c r="G22" s="8" t="s">
        <v>167</v>
      </c>
      <c r="H22" s="74" t="s">
        <v>1288</v>
      </c>
      <c r="I22" s="74" t="s">
        <v>1761</v>
      </c>
      <c r="J22" s="75" t="s">
        <v>1679</v>
      </c>
    </row>
    <row r="23" customFormat="false" ht="15" hidden="false" customHeight="true" outlineLevel="0" collapsed="false">
      <c r="A23" s="77" t="s">
        <v>1762</v>
      </c>
      <c r="B23" s="78" t="s">
        <v>1288</v>
      </c>
      <c r="C23" s="8" t="s">
        <v>1763</v>
      </c>
      <c r="D23" s="8" t="s">
        <v>1764</v>
      </c>
      <c r="E23" s="66" t="s">
        <v>1700</v>
      </c>
      <c r="F23" s="8" t="s">
        <v>1765</v>
      </c>
      <c r="G23" s="8" t="s">
        <v>172</v>
      </c>
      <c r="H23" s="74" t="s">
        <v>1288</v>
      </c>
      <c r="I23" s="74" t="s">
        <v>1678</v>
      </c>
      <c r="J23" s="75" t="s">
        <v>1679</v>
      </c>
    </row>
    <row r="24" customFormat="false" ht="15" hidden="false" customHeight="true" outlineLevel="0" collapsed="false">
      <c r="A24" s="77" t="s">
        <v>1766</v>
      </c>
      <c r="B24" s="78" t="s">
        <v>1288</v>
      </c>
      <c r="C24" s="8" t="s">
        <v>1767</v>
      </c>
      <c r="D24" s="8" t="s">
        <v>1768</v>
      </c>
      <c r="E24" s="66" t="s">
        <v>1700</v>
      </c>
      <c r="F24" s="8" t="s">
        <v>1769</v>
      </c>
      <c r="G24" s="8" t="s">
        <v>172</v>
      </c>
      <c r="H24" s="74" t="s">
        <v>1770</v>
      </c>
      <c r="I24" s="74" t="s">
        <v>1719</v>
      </c>
      <c r="J24" s="75" t="s">
        <v>1679</v>
      </c>
    </row>
    <row r="25" customFormat="false" ht="15" hidden="false" customHeight="true" outlineLevel="0" collapsed="false">
      <c r="A25" s="77" t="s">
        <v>1771</v>
      </c>
      <c r="B25" s="78" t="s">
        <v>1288</v>
      </c>
      <c r="C25" s="8" t="s">
        <v>1772</v>
      </c>
      <c r="D25" s="8" t="s">
        <v>1773</v>
      </c>
      <c r="E25" s="66" t="s">
        <v>1676</v>
      </c>
      <c r="F25" s="8" t="s">
        <v>1769</v>
      </c>
      <c r="G25" s="8" t="s">
        <v>172</v>
      </c>
      <c r="H25" s="74" t="s">
        <v>1288</v>
      </c>
      <c r="I25" s="74" t="s">
        <v>1719</v>
      </c>
      <c r="J25" s="75" t="s">
        <v>1679</v>
      </c>
    </row>
    <row r="26" customFormat="false" ht="15" hidden="false" customHeight="true" outlineLevel="0" collapsed="false">
      <c r="A26" s="68" t="s">
        <v>1774</v>
      </c>
      <c r="B26" s="79" t="s">
        <v>373</v>
      </c>
      <c r="C26" s="8" t="s">
        <v>1775</v>
      </c>
      <c r="D26" s="8" t="s">
        <v>1776</v>
      </c>
      <c r="E26" s="66" t="s">
        <v>1676</v>
      </c>
      <c r="F26" s="8" t="s">
        <v>1777</v>
      </c>
      <c r="G26" s="8" t="s">
        <v>177</v>
      </c>
      <c r="H26" s="74" t="s">
        <v>1778</v>
      </c>
      <c r="I26" s="74" t="s">
        <v>1692</v>
      </c>
      <c r="J26" s="75" t="s">
        <v>1679</v>
      </c>
    </row>
    <row r="27" customFormat="false" ht="15" hidden="false" customHeight="true" outlineLevel="0" collapsed="false">
      <c r="A27" s="68" t="s">
        <v>1779</v>
      </c>
      <c r="B27" s="79" t="s">
        <v>373</v>
      </c>
      <c r="C27" s="8" t="s">
        <v>1780</v>
      </c>
      <c r="D27" s="8" t="s">
        <v>1781</v>
      </c>
      <c r="E27" s="66" t="s">
        <v>1676</v>
      </c>
      <c r="F27" s="8" t="s">
        <v>1782</v>
      </c>
      <c r="G27" s="8" t="s">
        <v>177</v>
      </c>
      <c r="H27" s="74" t="s">
        <v>1778</v>
      </c>
      <c r="I27" s="74" t="s">
        <v>1692</v>
      </c>
      <c r="J27" s="75" t="s">
        <v>1679</v>
      </c>
    </row>
    <row r="28" customFormat="false" ht="15" hidden="false" customHeight="true" outlineLevel="0" collapsed="false">
      <c r="A28" s="68" t="s">
        <v>1783</v>
      </c>
      <c r="B28" s="79" t="s">
        <v>373</v>
      </c>
      <c r="C28" s="8" t="s">
        <v>1784</v>
      </c>
      <c r="D28" s="8" t="s">
        <v>1785</v>
      </c>
      <c r="E28" s="66" t="s">
        <v>1676</v>
      </c>
      <c r="F28" s="8" t="s">
        <v>1786</v>
      </c>
      <c r="G28" s="8" t="s">
        <v>172</v>
      </c>
      <c r="H28" s="74" t="s">
        <v>1787</v>
      </c>
      <c r="I28" s="74" t="s">
        <v>1719</v>
      </c>
      <c r="J28" s="75" t="s">
        <v>1679</v>
      </c>
    </row>
    <row r="29" customFormat="false" ht="15" hidden="false" customHeight="true" outlineLevel="0" collapsed="false">
      <c r="A29" s="68" t="s">
        <v>1788</v>
      </c>
      <c r="B29" s="79" t="s">
        <v>373</v>
      </c>
      <c r="C29" s="8" t="s">
        <v>1789</v>
      </c>
      <c r="D29" s="8" t="s">
        <v>1790</v>
      </c>
      <c r="E29" s="66" t="s">
        <v>1676</v>
      </c>
      <c r="F29" s="8" t="s">
        <v>1791</v>
      </c>
      <c r="G29" s="8" t="s">
        <v>177</v>
      </c>
      <c r="H29" s="74" t="s">
        <v>1729</v>
      </c>
      <c r="I29" s="74" t="s">
        <v>1692</v>
      </c>
      <c r="J29" s="75" t="s">
        <v>1679</v>
      </c>
    </row>
    <row r="30" customFormat="false" ht="15" hidden="false" customHeight="true" outlineLevel="0" collapsed="false">
      <c r="A30" s="68" t="s">
        <v>1792</v>
      </c>
      <c r="B30" s="79" t="s">
        <v>373</v>
      </c>
      <c r="C30" s="8" t="s">
        <v>1793</v>
      </c>
      <c r="D30" s="8" t="s">
        <v>1794</v>
      </c>
      <c r="E30" s="66" t="s">
        <v>1706</v>
      </c>
      <c r="F30" s="8" t="s">
        <v>1795</v>
      </c>
      <c r="G30" s="8" t="s">
        <v>177</v>
      </c>
      <c r="H30" s="74" t="s">
        <v>1778</v>
      </c>
      <c r="I30" s="74" t="s">
        <v>1796</v>
      </c>
      <c r="J30" s="75" t="s">
        <v>1679</v>
      </c>
    </row>
    <row r="31" customFormat="false" ht="23.25" hidden="false" customHeight="true" outlineLevel="0" collapsed="false">
      <c r="A31" s="68" t="s">
        <v>1797</v>
      </c>
      <c r="B31" s="79" t="s">
        <v>373</v>
      </c>
      <c r="C31" s="8" t="s">
        <v>1798</v>
      </c>
      <c r="D31" s="8" t="s">
        <v>1799</v>
      </c>
      <c r="E31" s="66" t="s">
        <v>1676</v>
      </c>
      <c r="F31" s="8" t="s">
        <v>1800</v>
      </c>
      <c r="G31" s="8" t="s">
        <v>173</v>
      </c>
      <c r="H31" s="74" t="s">
        <v>1787</v>
      </c>
      <c r="I31" s="74" t="s">
        <v>1692</v>
      </c>
      <c r="J31" s="75" t="s">
        <v>1679</v>
      </c>
    </row>
    <row r="32" customFormat="false" ht="23.25" hidden="false" customHeight="true" outlineLevel="0" collapsed="false">
      <c r="A32" s="69" t="s">
        <v>1801</v>
      </c>
      <c r="B32" s="80" t="s">
        <v>1802</v>
      </c>
      <c r="C32" s="8" t="s">
        <v>1803</v>
      </c>
      <c r="D32" s="8" t="s">
        <v>1804</v>
      </c>
      <c r="E32" s="66" t="s">
        <v>1700</v>
      </c>
      <c r="F32" s="8" t="s">
        <v>1805</v>
      </c>
      <c r="G32" s="8" t="s">
        <v>174</v>
      </c>
      <c r="H32" s="74" t="s">
        <v>389</v>
      </c>
      <c r="I32" s="74" t="s">
        <v>1719</v>
      </c>
      <c r="J32" s="75" t="s">
        <v>1679</v>
      </c>
    </row>
    <row r="33" customFormat="false" ht="15" hidden="false" customHeight="true" outlineLevel="0" collapsed="false">
      <c r="A33" s="69" t="s">
        <v>1806</v>
      </c>
      <c r="B33" s="80" t="s">
        <v>1802</v>
      </c>
      <c r="C33" s="8" t="s">
        <v>1451</v>
      </c>
      <c r="D33" s="8" t="s">
        <v>1807</v>
      </c>
      <c r="E33" s="66" t="s">
        <v>1676</v>
      </c>
      <c r="F33" s="8" t="s">
        <v>1808</v>
      </c>
      <c r="G33" s="8" t="s">
        <v>174</v>
      </c>
      <c r="H33" s="74" t="s">
        <v>249</v>
      </c>
      <c r="I33" s="74" t="s">
        <v>1809</v>
      </c>
      <c r="J33" s="75" t="s">
        <v>1679</v>
      </c>
    </row>
    <row r="34" customFormat="false" ht="15" hidden="false" customHeight="true" outlineLevel="0" collapsed="false">
      <c r="A34" s="69" t="s">
        <v>1810</v>
      </c>
      <c r="B34" s="80" t="s">
        <v>1802</v>
      </c>
      <c r="C34" s="8" t="s">
        <v>1456</v>
      </c>
      <c r="D34" s="8" t="s">
        <v>1811</v>
      </c>
      <c r="E34" s="66" t="s">
        <v>1676</v>
      </c>
      <c r="F34" s="8" t="s">
        <v>1808</v>
      </c>
      <c r="G34" s="8" t="s">
        <v>174</v>
      </c>
      <c r="H34" s="74" t="s">
        <v>266</v>
      </c>
      <c r="I34" s="74" t="s">
        <v>1719</v>
      </c>
      <c r="J34" s="75" t="s">
        <v>1679</v>
      </c>
    </row>
    <row r="35" customFormat="false" ht="15" hidden="false" customHeight="true" outlineLevel="0" collapsed="false">
      <c r="A35" s="69" t="s">
        <v>1812</v>
      </c>
      <c r="B35" s="80" t="s">
        <v>1802</v>
      </c>
      <c r="C35" s="8" t="s">
        <v>1462</v>
      </c>
      <c r="D35" s="8" t="s">
        <v>1813</v>
      </c>
      <c r="E35" s="66" t="s">
        <v>1700</v>
      </c>
      <c r="F35" s="8" t="s">
        <v>1814</v>
      </c>
      <c r="G35" s="8" t="s">
        <v>174</v>
      </c>
      <c r="H35" s="74" t="s">
        <v>1815</v>
      </c>
      <c r="I35" s="74" t="s">
        <v>1809</v>
      </c>
      <c r="J35" s="75" t="s">
        <v>1679</v>
      </c>
    </row>
    <row r="36" customFormat="false" ht="23.25" hidden="false" customHeight="true" outlineLevel="0" collapsed="false">
      <c r="A36" s="69" t="s">
        <v>1816</v>
      </c>
      <c r="B36" s="80" t="s">
        <v>1802</v>
      </c>
      <c r="C36" s="8" t="s">
        <v>1474</v>
      </c>
      <c r="D36" s="8" t="s">
        <v>1817</v>
      </c>
      <c r="E36" s="66" t="s">
        <v>1700</v>
      </c>
      <c r="F36" s="8" t="s">
        <v>1818</v>
      </c>
      <c r="G36" s="8" t="s">
        <v>174</v>
      </c>
      <c r="H36" s="74" t="s">
        <v>389</v>
      </c>
      <c r="I36" s="74" t="s">
        <v>1809</v>
      </c>
      <c r="J36" s="75" t="s">
        <v>1679</v>
      </c>
    </row>
    <row r="37" customFormat="false" ht="15" hidden="false" customHeight="true" outlineLevel="0" collapsed="false">
      <c r="A37" s="69" t="s">
        <v>1819</v>
      </c>
      <c r="B37" s="80" t="s">
        <v>1802</v>
      </c>
      <c r="C37" s="8" t="s">
        <v>1820</v>
      </c>
      <c r="D37" s="8" t="s">
        <v>1821</v>
      </c>
      <c r="E37" s="66" t="s">
        <v>1700</v>
      </c>
      <c r="F37" s="8" t="s">
        <v>1822</v>
      </c>
      <c r="G37" s="8" t="s">
        <v>174</v>
      </c>
      <c r="H37" s="74" t="s">
        <v>249</v>
      </c>
      <c r="I37" s="74" t="s">
        <v>1761</v>
      </c>
      <c r="J37" s="75" t="s">
        <v>1679</v>
      </c>
    </row>
    <row r="38" customFormat="false" ht="23.25" hidden="false" customHeight="true" outlineLevel="0" collapsed="false">
      <c r="A38" s="69" t="s">
        <v>1823</v>
      </c>
      <c r="B38" s="80" t="s">
        <v>1802</v>
      </c>
      <c r="C38" s="8" t="s">
        <v>1824</v>
      </c>
      <c r="D38" s="8" t="s">
        <v>1825</v>
      </c>
      <c r="E38" s="66" t="s">
        <v>1700</v>
      </c>
      <c r="F38" s="8" t="s">
        <v>1826</v>
      </c>
      <c r="G38" s="8" t="s">
        <v>167</v>
      </c>
      <c r="H38" s="74" t="s">
        <v>249</v>
      </c>
      <c r="I38" s="74" t="s">
        <v>1761</v>
      </c>
      <c r="J38" s="75" t="s">
        <v>1679</v>
      </c>
    </row>
    <row r="39" customFormat="false" ht="15" hidden="false" customHeight="true" outlineLevel="0" collapsed="false">
      <c r="A39" s="69" t="s">
        <v>1827</v>
      </c>
      <c r="B39" s="80" t="s">
        <v>1802</v>
      </c>
      <c r="C39" s="8" t="s">
        <v>455</v>
      </c>
      <c r="D39" s="8" t="s">
        <v>1828</v>
      </c>
      <c r="E39" s="66" t="s">
        <v>1700</v>
      </c>
      <c r="F39" s="8" t="s">
        <v>1829</v>
      </c>
      <c r="G39" s="8" t="s">
        <v>170</v>
      </c>
      <c r="H39" s="74" t="s">
        <v>249</v>
      </c>
      <c r="I39" s="74" t="s">
        <v>1692</v>
      </c>
      <c r="J39" s="75" t="s">
        <v>1679</v>
      </c>
    </row>
    <row r="40" customFormat="false" ht="15" hidden="false" customHeight="true" outlineLevel="0" collapsed="false">
      <c r="A40" s="65" t="s">
        <v>1830</v>
      </c>
      <c r="B40" s="73" t="s">
        <v>254</v>
      </c>
      <c r="C40" s="8" t="s">
        <v>1831</v>
      </c>
      <c r="D40" s="8" t="s">
        <v>1832</v>
      </c>
      <c r="E40" s="66" t="s">
        <v>1676</v>
      </c>
      <c r="F40" s="8" t="s">
        <v>1833</v>
      </c>
      <c r="G40" s="8" t="s">
        <v>175</v>
      </c>
      <c r="H40" s="74" t="s">
        <v>434</v>
      </c>
      <c r="I40" s="74" t="s">
        <v>1761</v>
      </c>
      <c r="J40" s="75" t="s">
        <v>1679</v>
      </c>
    </row>
    <row r="41" customFormat="false" ht="15" hidden="false" customHeight="true" outlineLevel="0" collapsed="false">
      <c r="A41" s="65" t="s">
        <v>1834</v>
      </c>
      <c r="B41" s="73" t="s">
        <v>254</v>
      </c>
      <c r="C41" s="8" t="s">
        <v>1835</v>
      </c>
      <c r="D41" s="8" t="s">
        <v>1836</v>
      </c>
      <c r="E41" s="66" t="s">
        <v>1676</v>
      </c>
      <c r="F41" s="8" t="s">
        <v>1837</v>
      </c>
      <c r="G41" s="8" t="s">
        <v>175</v>
      </c>
      <c r="H41" s="74" t="s">
        <v>434</v>
      </c>
      <c r="I41" s="74" t="s">
        <v>1761</v>
      </c>
      <c r="J41" s="75" t="s">
        <v>1679</v>
      </c>
    </row>
    <row r="42" customFormat="false" ht="15" hidden="false" customHeight="true" outlineLevel="0" collapsed="false">
      <c r="A42" s="65" t="s">
        <v>1838</v>
      </c>
      <c r="B42" s="73" t="s">
        <v>254</v>
      </c>
      <c r="C42" s="8" t="s">
        <v>1839</v>
      </c>
      <c r="D42" s="8" t="s">
        <v>1840</v>
      </c>
      <c r="E42" s="66" t="s">
        <v>1700</v>
      </c>
      <c r="F42" s="8" t="s">
        <v>1841</v>
      </c>
      <c r="G42" s="8" t="s">
        <v>167</v>
      </c>
      <c r="H42" s="74" t="s">
        <v>434</v>
      </c>
      <c r="I42" s="74" t="s">
        <v>1761</v>
      </c>
      <c r="J42" s="75" t="s">
        <v>1679</v>
      </c>
    </row>
    <row r="43" customFormat="false" ht="15" hidden="false" customHeight="true" outlineLevel="0" collapsed="false">
      <c r="A43" s="65" t="s">
        <v>1842</v>
      </c>
      <c r="B43" s="73" t="s">
        <v>254</v>
      </c>
      <c r="C43" s="8" t="s">
        <v>1843</v>
      </c>
      <c r="D43" s="8" t="s">
        <v>1844</v>
      </c>
      <c r="E43" s="66" t="s">
        <v>1700</v>
      </c>
      <c r="F43" s="8" t="s">
        <v>1845</v>
      </c>
      <c r="G43" s="8" t="s">
        <v>175</v>
      </c>
      <c r="H43" s="74" t="s">
        <v>249</v>
      </c>
      <c r="I43" s="74" t="s">
        <v>1761</v>
      </c>
      <c r="J43" s="75" t="s">
        <v>1679</v>
      </c>
    </row>
    <row r="44" customFormat="false" ht="15" hidden="false" customHeight="true" outlineLevel="0" collapsed="false">
      <c r="A44" s="67" t="s">
        <v>263</v>
      </c>
      <c r="B44" s="76" t="s">
        <v>265</v>
      </c>
      <c r="C44" s="8" t="s">
        <v>1846</v>
      </c>
      <c r="D44" s="8" t="s">
        <v>1847</v>
      </c>
      <c r="E44" s="66" t="s">
        <v>1676</v>
      </c>
      <c r="F44" s="8" t="s">
        <v>262</v>
      </c>
      <c r="G44" s="8" t="s">
        <v>1848</v>
      </c>
      <c r="H44" s="74" t="s">
        <v>221</v>
      </c>
      <c r="I44" s="74" t="s">
        <v>1761</v>
      </c>
      <c r="J44" s="75" t="s">
        <v>1679</v>
      </c>
    </row>
    <row r="45" customFormat="false" ht="15" hidden="false" customHeight="true" outlineLevel="0" collapsed="false">
      <c r="A45" s="67" t="s">
        <v>1849</v>
      </c>
      <c r="B45" s="76" t="s">
        <v>265</v>
      </c>
      <c r="C45" s="8" t="s">
        <v>1850</v>
      </c>
      <c r="D45" s="8" t="s">
        <v>1851</v>
      </c>
      <c r="E45" s="66" t="s">
        <v>1706</v>
      </c>
      <c r="F45" s="8" t="s">
        <v>1852</v>
      </c>
      <c r="G45" s="8" t="s">
        <v>172</v>
      </c>
      <c r="H45" s="74" t="s">
        <v>266</v>
      </c>
      <c r="I45" s="74" t="s">
        <v>1761</v>
      </c>
      <c r="J45" s="75" t="s">
        <v>1679</v>
      </c>
    </row>
    <row r="46" customFormat="false" ht="23.25" hidden="false" customHeight="true" outlineLevel="0" collapsed="false">
      <c r="A46" s="67" t="s">
        <v>1853</v>
      </c>
      <c r="B46" s="76" t="s">
        <v>265</v>
      </c>
      <c r="C46" s="8" t="s">
        <v>1854</v>
      </c>
      <c r="D46" s="8" t="s">
        <v>1855</v>
      </c>
      <c r="E46" s="66" t="s">
        <v>1676</v>
      </c>
      <c r="F46" s="8" t="s">
        <v>1837</v>
      </c>
      <c r="G46" s="8" t="s">
        <v>172</v>
      </c>
      <c r="H46" s="74" t="s">
        <v>266</v>
      </c>
      <c r="I46" s="74" t="s">
        <v>1719</v>
      </c>
      <c r="J46" s="75" t="s">
        <v>1679</v>
      </c>
    </row>
    <row r="47" customFormat="false" ht="23.25" hidden="false" customHeight="true" outlineLevel="0" collapsed="false">
      <c r="A47" s="67" t="s">
        <v>1856</v>
      </c>
      <c r="B47" s="76" t="s">
        <v>265</v>
      </c>
      <c r="C47" s="8" t="s">
        <v>1857</v>
      </c>
      <c r="D47" s="8" t="s">
        <v>1858</v>
      </c>
      <c r="E47" s="66" t="s">
        <v>1676</v>
      </c>
      <c r="F47" s="8" t="s">
        <v>268</v>
      </c>
      <c r="G47" s="8" t="s">
        <v>1859</v>
      </c>
      <c r="H47" s="74" t="s">
        <v>221</v>
      </c>
      <c r="I47" s="74" t="s">
        <v>1692</v>
      </c>
      <c r="J47" s="75" t="s">
        <v>1679</v>
      </c>
    </row>
    <row r="48" customFormat="false" ht="15" hidden="false" customHeight="true" outlineLevel="0" collapsed="false">
      <c r="A48" s="68" t="s">
        <v>1860</v>
      </c>
      <c r="B48" s="79" t="s">
        <v>271</v>
      </c>
      <c r="C48" s="8" t="s">
        <v>1861</v>
      </c>
      <c r="D48" s="8" t="s">
        <v>1862</v>
      </c>
      <c r="E48" s="66" t="s">
        <v>1700</v>
      </c>
      <c r="F48" s="8" t="s">
        <v>1863</v>
      </c>
      <c r="G48" s="8" t="s">
        <v>174</v>
      </c>
      <c r="H48" s="74" t="s">
        <v>266</v>
      </c>
      <c r="I48" s="74" t="s">
        <v>1719</v>
      </c>
      <c r="J48" s="75" t="s">
        <v>1679</v>
      </c>
    </row>
    <row r="49" customFormat="false" ht="15" hidden="false" customHeight="true" outlineLevel="0" collapsed="false">
      <c r="A49" s="68" t="s">
        <v>1864</v>
      </c>
      <c r="B49" s="79" t="s">
        <v>271</v>
      </c>
      <c r="C49" s="8" t="s">
        <v>1865</v>
      </c>
      <c r="D49" s="8" t="s">
        <v>1866</v>
      </c>
      <c r="E49" s="66" t="s">
        <v>1700</v>
      </c>
      <c r="F49" s="8" t="s">
        <v>1867</v>
      </c>
      <c r="G49" s="8" t="s">
        <v>1696</v>
      </c>
      <c r="H49" s="74" t="s">
        <v>266</v>
      </c>
      <c r="I49" s="74" t="s">
        <v>1719</v>
      </c>
      <c r="J49" s="75" t="s">
        <v>1679</v>
      </c>
    </row>
    <row r="50" customFormat="false" ht="15" hidden="false" customHeight="true" outlineLevel="0" collapsed="false">
      <c r="A50" s="68" t="s">
        <v>1868</v>
      </c>
      <c r="B50" s="79" t="s">
        <v>271</v>
      </c>
      <c r="C50" s="8" t="s">
        <v>1869</v>
      </c>
      <c r="D50" s="8" t="s">
        <v>1870</v>
      </c>
      <c r="E50" s="66" t="s">
        <v>1700</v>
      </c>
      <c r="F50" s="8" t="s">
        <v>1871</v>
      </c>
      <c r="G50" s="8" t="s">
        <v>1859</v>
      </c>
      <c r="H50" s="74" t="s">
        <v>221</v>
      </c>
      <c r="I50" s="74" t="s">
        <v>1719</v>
      </c>
      <c r="J50" s="75" t="s">
        <v>1679</v>
      </c>
    </row>
    <row r="51" customFormat="false" ht="15" hidden="false" customHeight="true" outlineLevel="0" collapsed="false">
      <c r="A51" s="68" t="s">
        <v>1872</v>
      </c>
      <c r="B51" s="79" t="s">
        <v>271</v>
      </c>
      <c r="C51" s="8" t="s">
        <v>1873</v>
      </c>
      <c r="D51" s="8" t="s">
        <v>1874</v>
      </c>
      <c r="E51" s="66" t="s">
        <v>1700</v>
      </c>
      <c r="F51" s="8" t="s">
        <v>1852</v>
      </c>
      <c r="G51" s="8" t="s">
        <v>172</v>
      </c>
      <c r="H51" s="74" t="s">
        <v>266</v>
      </c>
      <c r="I51" s="74" t="s">
        <v>1719</v>
      </c>
      <c r="J51" s="75" t="s">
        <v>1679</v>
      </c>
    </row>
    <row r="52" customFormat="false" ht="15" hidden="false" customHeight="true" outlineLevel="0" collapsed="false">
      <c r="A52" s="77" t="s">
        <v>1875</v>
      </c>
      <c r="B52" s="78" t="s">
        <v>461</v>
      </c>
      <c r="C52" s="8" t="s">
        <v>1876</v>
      </c>
      <c r="D52" s="8" t="s">
        <v>1877</v>
      </c>
      <c r="E52" s="66" t="s">
        <v>1706</v>
      </c>
      <c r="F52" s="8" t="s">
        <v>1878</v>
      </c>
      <c r="G52" s="8" t="s">
        <v>172</v>
      </c>
      <c r="H52" s="74" t="s">
        <v>221</v>
      </c>
      <c r="I52" s="74" t="s">
        <v>1879</v>
      </c>
      <c r="J52" s="75" t="s">
        <v>1679</v>
      </c>
    </row>
    <row r="53" customFormat="false" ht="23.25" hidden="false" customHeight="true" outlineLevel="0" collapsed="false">
      <c r="A53" s="77" t="s">
        <v>1880</v>
      </c>
      <c r="B53" s="78" t="s">
        <v>461</v>
      </c>
      <c r="C53" s="8" t="s">
        <v>1881</v>
      </c>
      <c r="D53" s="8" t="s">
        <v>1882</v>
      </c>
      <c r="E53" s="66" t="s">
        <v>1706</v>
      </c>
      <c r="F53" s="8" t="s">
        <v>1883</v>
      </c>
      <c r="G53" s="8" t="s">
        <v>1859</v>
      </c>
      <c r="H53" s="74" t="s">
        <v>221</v>
      </c>
      <c r="I53" s="74" t="s">
        <v>1884</v>
      </c>
      <c r="J53" s="75" t="s">
        <v>1679</v>
      </c>
    </row>
    <row r="54" customFormat="false" ht="15" hidden="false" customHeight="true" outlineLevel="0" collapsed="false">
      <c r="A54" s="77" t="s">
        <v>1885</v>
      </c>
      <c r="B54" s="78" t="s">
        <v>461</v>
      </c>
      <c r="C54" s="8" t="s">
        <v>1886</v>
      </c>
      <c r="D54" s="8" t="s">
        <v>1887</v>
      </c>
      <c r="E54" s="66" t="s">
        <v>1706</v>
      </c>
      <c r="F54" s="8" t="s">
        <v>1852</v>
      </c>
      <c r="G54" s="8" t="s">
        <v>172</v>
      </c>
      <c r="H54" s="74" t="s">
        <v>266</v>
      </c>
      <c r="I54" s="74" t="s">
        <v>1888</v>
      </c>
      <c r="J54" s="75" t="s">
        <v>1679</v>
      </c>
    </row>
    <row r="55" customFormat="false" ht="23.25" hidden="false" customHeight="true" outlineLevel="0" collapsed="false">
      <c r="A55" s="77" t="s">
        <v>1889</v>
      </c>
      <c r="B55" s="78" t="s">
        <v>461</v>
      </c>
      <c r="C55" s="8" t="s">
        <v>1890</v>
      </c>
      <c r="D55" s="8" t="s">
        <v>1891</v>
      </c>
      <c r="E55" s="66" t="s">
        <v>1706</v>
      </c>
      <c r="F55" s="8" t="s">
        <v>1878</v>
      </c>
      <c r="G55" s="8" t="s">
        <v>1892</v>
      </c>
      <c r="H55" s="74" t="s">
        <v>221</v>
      </c>
      <c r="I55" s="74" t="s">
        <v>1884</v>
      </c>
      <c r="J55" s="75" t="s">
        <v>1679</v>
      </c>
    </row>
    <row r="56" customFormat="false" ht="23.25" hidden="false" customHeight="true" outlineLevel="0" collapsed="false">
      <c r="A56" s="81" t="s">
        <v>1893</v>
      </c>
      <c r="B56" s="82" t="s">
        <v>287</v>
      </c>
      <c r="C56" s="8" t="s">
        <v>1894</v>
      </c>
      <c r="D56" s="8" t="s">
        <v>1895</v>
      </c>
      <c r="E56" s="66" t="s">
        <v>1676</v>
      </c>
      <c r="F56" s="8" t="s">
        <v>1896</v>
      </c>
      <c r="G56" s="8" t="s">
        <v>1848</v>
      </c>
      <c r="H56" s="74" t="s">
        <v>221</v>
      </c>
      <c r="I56" s="74" t="s">
        <v>1897</v>
      </c>
      <c r="J56" s="75" t="s">
        <v>1679</v>
      </c>
    </row>
    <row r="57" customFormat="false" ht="15" hidden="false" customHeight="true" outlineLevel="0" collapsed="false">
      <c r="A57" s="81" t="s">
        <v>1898</v>
      </c>
      <c r="B57" s="82" t="s">
        <v>287</v>
      </c>
      <c r="C57" s="8" t="s">
        <v>1899</v>
      </c>
      <c r="D57" s="8" t="s">
        <v>1900</v>
      </c>
      <c r="E57" s="66" t="s">
        <v>1676</v>
      </c>
      <c r="F57" s="8" t="s">
        <v>1733</v>
      </c>
      <c r="G57" s="8" t="s">
        <v>177</v>
      </c>
      <c r="H57" s="74" t="s">
        <v>1734</v>
      </c>
      <c r="I57" s="74" t="s">
        <v>1897</v>
      </c>
      <c r="J57" s="75" t="s">
        <v>1679</v>
      </c>
    </row>
    <row r="58" customFormat="false" ht="15" hidden="false" customHeight="true" outlineLevel="0" collapsed="false">
      <c r="A58" s="81" t="s">
        <v>1901</v>
      </c>
      <c r="B58" s="82" t="s">
        <v>287</v>
      </c>
      <c r="C58" s="8" t="s">
        <v>1902</v>
      </c>
      <c r="D58" s="8" t="s">
        <v>1903</v>
      </c>
      <c r="E58" s="66" t="s">
        <v>1676</v>
      </c>
      <c r="F58" s="8" t="s">
        <v>1904</v>
      </c>
      <c r="G58" s="8" t="s">
        <v>1859</v>
      </c>
      <c r="H58" s="74" t="s">
        <v>221</v>
      </c>
      <c r="I58" s="74" t="s">
        <v>1897</v>
      </c>
      <c r="J58" s="75" t="s">
        <v>1679</v>
      </c>
    </row>
    <row r="60" customFormat="false" ht="15" hidden="false" customHeight="true" outlineLevel="0" collapsed="false">
      <c r="A60" s="58" t="s">
        <v>1905</v>
      </c>
      <c r="B60" s="58"/>
      <c r="C60" s="58"/>
      <c r="D60" s="58"/>
      <c r="E60" s="58"/>
      <c r="F60" s="58"/>
      <c r="G60" s="58"/>
      <c r="H60" s="58"/>
      <c r="I60" s="58"/>
    </row>
  </sheetData>
  <mergeCells count="2">
    <mergeCell ref="A1:I1"/>
    <mergeCell ref="A60:I60"/>
  </mergeCells>
  <conditionalFormatting sqref="J3:J58">
    <cfRule type="cellIs" priority="2" operator="equal" aboveAverage="0" equalAverage="0" bottom="0" percent="0" rank="0" text="" dxfId="17">
      <formula>"Implemented"</formula>
    </cfRule>
    <cfRule type="cellIs" priority="3" operator="equal" aboveAverage="0" equalAverage="0" bottom="0" percent="0" rank="0" text="" dxfId="18">
      <formula>"Partial"</formula>
    </cfRule>
    <cfRule type="cellIs" priority="4" operator="equal" aboveAverage="0" equalAverage="0" bottom="0" percent="0" rank="0" text="" dxfId="19">
      <formula>"Not Implemented"</formula>
    </cfRule>
    <cfRule type="cellIs" priority="5" operator="equal" aboveAverage="0" equalAverage="0" bottom="0" percent="0" rank="0" text="" dxfId="20">
      <formula>"N/A"</formula>
    </cfRule>
  </conditionalFormatting>
  <dataValidations count="1">
    <dataValidation allowBlank="true" errorStyle="stop" operator="between" showDropDown="false" showErrorMessage="false" showInputMessage="false" sqref="J3:J58" type="list">
      <formula1>"Implemented,Partial,Not Implemented,N/A"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8"/>
  </cols>
  <sheetData>
    <row r="1" customFormat="false" ht="24" hidden="false" customHeight="true" outlineLevel="0" collapsed="false">
      <c r="A1" s="60" t="s">
        <v>1906</v>
      </c>
      <c r="B1" s="60"/>
    </row>
    <row r="2" customFormat="false" ht="30" hidden="false" customHeight="true" outlineLevel="0" collapsed="false">
      <c r="A2" s="83" t="s">
        <v>1527</v>
      </c>
      <c r="B2" s="32"/>
    </row>
    <row r="3" customFormat="false" ht="30" hidden="false" customHeight="true" outlineLevel="0" collapsed="false">
      <c r="A3" s="83" t="s">
        <v>1907</v>
      </c>
      <c r="B3" s="32"/>
    </row>
    <row r="4" customFormat="false" ht="30" hidden="false" customHeight="true" outlineLevel="0" collapsed="false">
      <c r="A4" s="83" t="s">
        <v>1528</v>
      </c>
      <c r="B4" s="32"/>
    </row>
    <row r="5" customFormat="false" ht="30" hidden="false" customHeight="true" outlineLevel="0" collapsed="false">
      <c r="A5" s="83" t="s">
        <v>1529</v>
      </c>
      <c r="B5" s="32"/>
    </row>
    <row r="6" customFormat="false" ht="30" hidden="false" customHeight="true" outlineLevel="0" collapsed="false">
      <c r="A6" s="83" t="s">
        <v>1908</v>
      </c>
      <c r="B6" s="32"/>
    </row>
    <row r="7" customFormat="false" ht="30" hidden="false" customHeight="true" outlineLevel="0" collapsed="false">
      <c r="A7" s="83" t="s">
        <v>1909</v>
      </c>
      <c r="B7" s="32"/>
    </row>
    <row r="8" customFormat="false" ht="30" hidden="false" customHeight="true" outlineLevel="0" collapsed="false">
      <c r="A8" s="83" t="s">
        <v>1910</v>
      </c>
      <c r="B8" s="32"/>
    </row>
    <row r="9" customFormat="false" ht="30" hidden="false" customHeight="true" outlineLevel="0" collapsed="false">
      <c r="A9" s="83" t="s">
        <v>1911</v>
      </c>
      <c r="B9" s="32"/>
    </row>
    <row r="10" customFormat="false" ht="30" hidden="false" customHeight="true" outlineLevel="0" collapsed="false">
      <c r="A10" s="83" t="s">
        <v>1912</v>
      </c>
      <c r="B10" s="32"/>
    </row>
    <row r="11" customFormat="false" ht="30" hidden="false" customHeight="true" outlineLevel="0" collapsed="false">
      <c r="A11" s="83" t="s">
        <v>1913</v>
      </c>
      <c r="B11" s="32"/>
    </row>
    <row r="12" customFormat="false" ht="30" hidden="false" customHeight="true" outlineLevel="0" collapsed="false">
      <c r="A12" s="83" t="s">
        <v>1914</v>
      </c>
      <c r="B12" s="32"/>
    </row>
    <row r="13" customFormat="false" ht="30" hidden="false" customHeight="true" outlineLevel="0" collapsed="false">
      <c r="A13" s="83" t="s">
        <v>1915</v>
      </c>
      <c r="B13" s="32"/>
    </row>
    <row r="14" customFormat="false" ht="30" hidden="false" customHeight="true" outlineLevel="0" collapsed="false">
      <c r="A14" s="83" t="s">
        <v>1916</v>
      </c>
      <c r="B14" s="32"/>
    </row>
    <row r="15" customFormat="false" ht="30" hidden="false" customHeight="true" outlineLevel="0" collapsed="false">
      <c r="A15" s="83" t="s">
        <v>1917</v>
      </c>
      <c r="B15" s="32"/>
    </row>
    <row r="16" customFormat="false" ht="30" hidden="false" customHeight="true" outlineLevel="0" collapsed="false">
      <c r="A16" s="83" t="s">
        <v>1918</v>
      </c>
      <c r="B16" s="32"/>
    </row>
    <row r="17" customFormat="false" ht="30" hidden="false" customHeight="true" outlineLevel="0" collapsed="false">
      <c r="A17" s="83" t="s">
        <v>1919</v>
      </c>
      <c r="B17" s="32"/>
    </row>
    <row r="18" customFormat="false" ht="30" hidden="false" customHeight="true" outlineLevel="0" collapsed="false">
      <c r="A18" s="83" t="s">
        <v>1536</v>
      </c>
      <c r="B18" s="32"/>
    </row>
    <row r="19" customFormat="false" ht="30" hidden="false" customHeight="true" outlineLevel="0" collapsed="false">
      <c r="A19" s="83" t="s">
        <v>1920</v>
      </c>
      <c r="B19" s="32"/>
    </row>
    <row r="20" customFormat="false" ht="30" hidden="false" customHeight="true" outlineLevel="0" collapsed="false">
      <c r="A20" s="83" t="s">
        <v>1921</v>
      </c>
      <c r="B20" s="32"/>
    </row>
    <row r="21" customFormat="false" ht="30" hidden="false" customHeight="true" outlineLevel="0" collapsed="false">
      <c r="A21" s="83" t="s">
        <v>1922</v>
      </c>
      <c r="B21" s="32"/>
    </row>
    <row r="22" customFormat="false" ht="30" hidden="false" customHeight="true" outlineLevel="0" collapsed="false">
      <c r="A22" s="83" t="s">
        <v>1923</v>
      </c>
      <c r="B22" s="32"/>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40"/>
    <col collapsed="false" customWidth="true" hidden="false" outlineLevel="0" max="4" min="4" style="1" width="24"/>
    <col collapsed="false" customWidth="true" hidden="false" outlineLevel="0" max="5" min="5" style="1" width="16"/>
    <col collapsed="false" customWidth="true" hidden="false" outlineLevel="0" max="6" min="6" style="1" width="14"/>
  </cols>
  <sheetData>
    <row r="1" customFormat="false" ht="24" hidden="false" customHeight="true" outlineLevel="0" collapsed="false">
      <c r="A1" s="60" t="s">
        <v>1924</v>
      </c>
      <c r="B1" s="60"/>
      <c r="C1" s="60"/>
      <c r="D1" s="60"/>
      <c r="E1" s="60"/>
      <c r="F1" s="60"/>
    </row>
    <row r="2" customFormat="false" ht="27.75" hidden="false" customHeight="true" outlineLevel="0" collapsed="false">
      <c r="A2" s="61" t="s">
        <v>1925</v>
      </c>
      <c r="B2" s="61" t="s">
        <v>1926</v>
      </c>
      <c r="C2" s="61" t="s">
        <v>1927</v>
      </c>
      <c r="D2" s="61" t="s">
        <v>1928</v>
      </c>
      <c r="E2" s="61" t="s">
        <v>209</v>
      </c>
      <c r="F2" s="61" t="s">
        <v>1929</v>
      </c>
    </row>
    <row r="3" customFormat="false" ht="15" hidden="false" customHeight="true" outlineLevel="0" collapsed="false">
      <c r="A3" s="66" t="s">
        <v>1673</v>
      </c>
      <c r="B3" s="8" t="s">
        <v>1930</v>
      </c>
      <c r="C3" s="8" t="s">
        <v>1931</v>
      </c>
      <c r="D3" s="8" t="s">
        <v>1932</v>
      </c>
      <c r="E3" s="66" t="s">
        <v>221</v>
      </c>
      <c r="F3" s="66"/>
    </row>
    <row r="4" customFormat="false" ht="15" hidden="false" customHeight="true" outlineLevel="0" collapsed="false">
      <c r="A4" s="66" t="s">
        <v>224</v>
      </c>
      <c r="B4" s="8" t="s">
        <v>1680</v>
      </c>
      <c r="C4" s="8" t="s">
        <v>1933</v>
      </c>
      <c r="D4" s="8" t="s">
        <v>1892</v>
      </c>
      <c r="E4" s="66" t="s">
        <v>221</v>
      </c>
      <c r="F4" s="66"/>
    </row>
    <row r="5" customFormat="false" ht="15" hidden="false" customHeight="true" outlineLevel="0" collapsed="false">
      <c r="A5" s="66" t="s">
        <v>1934</v>
      </c>
      <c r="B5" s="8" t="s">
        <v>1525</v>
      </c>
      <c r="C5" s="8" t="s">
        <v>1935</v>
      </c>
      <c r="D5" s="8" t="s">
        <v>1936</v>
      </c>
      <c r="E5" s="66" t="s">
        <v>389</v>
      </c>
      <c r="F5" s="66"/>
    </row>
    <row r="6" customFormat="false" ht="15" hidden="false" customHeight="true" outlineLevel="0" collapsed="false">
      <c r="A6" s="66" t="s">
        <v>1801</v>
      </c>
      <c r="B6" s="8" t="s">
        <v>1803</v>
      </c>
      <c r="C6" s="8" t="s">
        <v>1937</v>
      </c>
      <c r="D6" s="8" t="s">
        <v>1938</v>
      </c>
      <c r="E6" s="66" t="s">
        <v>389</v>
      </c>
      <c r="F6" s="66"/>
    </row>
    <row r="7" customFormat="false" ht="15" hidden="false" customHeight="true" outlineLevel="0" collapsed="false">
      <c r="A7" s="66" t="s">
        <v>1806</v>
      </c>
      <c r="B7" s="8" t="s">
        <v>1451</v>
      </c>
      <c r="C7" s="8" t="s">
        <v>1939</v>
      </c>
      <c r="D7" s="8" t="s">
        <v>1940</v>
      </c>
      <c r="E7" s="66" t="s">
        <v>249</v>
      </c>
      <c r="F7" s="66"/>
    </row>
    <row r="8" customFormat="false" ht="15" hidden="false" customHeight="true" outlineLevel="0" collapsed="false">
      <c r="A8" s="66" t="s">
        <v>1812</v>
      </c>
      <c r="B8" s="8" t="s">
        <v>1462</v>
      </c>
      <c r="C8" s="8" t="s">
        <v>1941</v>
      </c>
      <c r="D8" s="8" t="s">
        <v>1942</v>
      </c>
      <c r="E8" s="66" t="s">
        <v>1815</v>
      </c>
      <c r="F8" s="66"/>
    </row>
    <row r="9" customFormat="false" ht="15" hidden="false" customHeight="true" outlineLevel="0" collapsed="false">
      <c r="A9" s="66" t="s">
        <v>1823</v>
      </c>
      <c r="B9" s="8" t="s">
        <v>1824</v>
      </c>
      <c r="C9" s="8" t="s">
        <v>1943</v>
      </c>
      <c r="D9" s="8" t="s">
        <v>1944</v>
      </c>
      <c r="E9" s="66" t="s">
        <v>249</v>
      </c>
      <c r="F9" s="66"/>
    </row>
    <row r="10" customFormat="false" ht="15" hidden="false" customHeight="true" outlineLevel="0" collapsed="false">
      <c r="A10" s="66" t="s">
        <v>1860</v>
      </c>
      <c r="B10" s="8" t="s">
        <v>1861</v>
      </c>
      <c r="C10" s="8" t="s">
        <v>1945</v>
      </c>
      <c r="D10" s="8" t="s">
        <v>1946</v>
      </c>
      <c r="E10" s="66" t="s">
        <v>266</v>
      </c>
      <c r="F10" s="66"/>
    </row>
    <row r="11" customFormat="false" ht="15" hidden="false" customHeight="true" outlineLevel="0" collapsed="false">
      <c r="A11" s="66" t="s">
        <v>263</v>
      </c>
      <c r="B11" s="8" t="s">
        <v>1846</v>
      </c>
      <c r="C11" s="8" t="s">
        <v>1947</v>
      </c>
      <c r="D11" s="8" t="s">
        <v>1892</v>
      </c>
      <c r="E11" s="66" t="s">
        <v>221</v>
      </c>
      <c r="F11" s="66"/>
    </row>
    <row r="12" customFormat="false" ht="15" hidden="false" customHeight="true" outlineLevel="0" collapsed="false">
      <c r="A12" s="66" t="s">
        <v>1875</v>
      </c>
      <c r="B12" s="8" t="s">
        <v>461</v>
      </c>
      <c r="C12" s="8" t="s">
        <v>1948</v>
      </c>
      <c r="D12" s="8" t="s">
        <v>1608</v>
      </c>
      <c r="E12" s="66" t="s">
        <v>221</v>
      </c>
      <c r="F12" s="66"/>
    </row>
    <row r="13" customFormat="false" ht="15" hidden="false" customHeight="true" outlineLevel="0" collapsed="false">
      <c r="A13" s="66" t="s">
        <v>1949</v>
      </c>
      <c r="B13" s="8" t="s">
        <v>1950</v>
      </c>
      <c r="C13" s="8" t="s">
        <v>1951</v>
      </c>
      <c r="D13" s="8" t="s">
        <v>1952</v>
      </c>
      <c r="E13" s="66" t="s">
        <v>1953</v>
      </c>
      <c r="F13" s="66"/>
    </row>
    <row r="14" customFormat="false" ht="15" hidden="false" customHeight="true" outlineLevel="0" collapsed="false">
      <c r="A14" s="66" t="s">
        <v>1774</v>
      </c>
      <c r="B14" s="8" t="s">
        <v>1775</v>
      </c>
      <c r="C14" s="8" t="s">
        <v>1954</v>
      </c>
      <c r="D14" s="8" t="s">
        <v>1955</v>
      </c>
      <c r="E14" s="66" t="s">
        <v>1778</v>
      </c>
      <c r="F14" s="66"/>
    </row>
    <row r="15" customFormat="false" ht="15" hidden="false" customHeight="true" outlineLevel="0" collapsed="false">
      <c r="A15" s="66" t="s">
        <v>1757</v>
      </c>
      <c r="B15" s="8" t="s">
        <v>1758</v>
      </c>
      <c r="C15" s="8" t="s">
        <v>1956</v>
      </c>
      <c r="D15" s="8" t="s">
        <v>1957</v>
      </c>
      <c r="E15" s="66" t="s">
        <v>1288</v>
      </c>
      <c r="F15" s="66"/>
    </row>
    <row r="16" customFormat="false" ht="15" hidden="false" customHeight="true" outlineLevel="0" collapsed="false">
      <c r="A16" s="66" t="s">
        <v>1958</v>
      </c>
      <c r="B16" s="8" t="s">
        <v>1959</v>
      </c>
      <c r="C16" s="8" t="s">
        <v>1960</v>
      </c>
      <c r="D16" s="8" t="s">
        <v>1961</v>
      </c>
      <c r="E16" s="66" t="s">
        <v>1962</v>
      </c>
      <c r="F16" s="66"/>
    </row>
    <row r="17" customFormat="false" ht="15" hidden="false" customHeight="true" outlineLevel="0" collapsed="false">
      <c r="A17" s="66" t="s">
        <v>285</v>
      </c>
      <c r="B17" s="8" t="s">
        <v>1963</v>
      </c>
      <c r="C17" s="8" t="s">
        <v>1964</v>
      </c>
      <c r="D17" s="8" t="s">
        <v>1965</v>
      </c>
      <c r="E17" s="66" t="s">
        <v>1697</v>
      </c>
      <c r="F17" s="66"/>
    </row>
    <row r="18" customFormat="false" ht="15" hidden="false" customHeight="true" outlineLevel="0" collapsed="false">
      <c r="A18" s="52"/>
      <c r="B18" s="52"/>
      <c r="C18" s="52"/>
      <c r="D18" s="52"/>
      <c r="E18" s="52"/>
      <c r="F18" s="52"/>
    </row>
    <row r="19" customFormat="false" ht="15" hidden="false" customHeight="true" outlineLevel="0" collapsed="false">
      <c r="A19" s="52"/>
      <c r="B19" s="52"/>
      <c r="C19" s="52"/>
      <c r="D19" s="52"/>
      <c r="E19" s="52"/>
      <c r="F19" s="52"/>
    </row>
    <row r="20" customFormat="false" ht="15" hidden="false" customHeight="true" outlineLevel="0" collapsed="false">
      <c r="A20" s="52"/>
      <c r="B20" s="52"/>
      <c r="C20" s="52"/>
      <c r="D20" s="52"/>
      <c r="E20" s="52"/>
      <c r="F20" s="52"/>
    </row>
    <row r="21" customFormat="false" ht="15" hidden="false" customHeight="true" outlineLevel="0" collapsed="false">
      <c r="A21" s="52"/>
      <c r="B21" s="52"/>
      <c r="C21" s="52"/>
      <c r="D21" s="52"/>
      <c r="E21" s="52"/>
      <c r="F21" s="52"/>
    </row>
    <row r="22" customFormat="false" ht="15" hidden="false" customHeight="true" outlineLevel="0" collapsed="false">
      <c r="A22" s="52"/>
      <c r="B22" s="52"/>
      <c r="C22" s="52"/>
      <c r="D22" s="52"/>
      <c r="E22" s="52"/>
      <c r="F22" s="52"/>
    </row>
    <row r="23" customFormat="false" ht="15" hidden="false" customHeight="true" outlineLevel="0" collapsed="false">
      <c r="A23" s="52"/>
      <c r="B23" s="52"/>
      <c r="C23" s="52"/>
      <c r="D23" s="52"/>
      <c r="E23" s="52"/>
      <c r="F23" s="52"/>
    </row>
    <row r="24" customFormat="false" ht="15" hidden="false" customHeight="true" outlineLevel="0" collapsed="false">
      <c r="A24" s="52"/>
      <c r="B24" s="52"/>
      <c r="C24" s="52"/>
      <c r="D24" s="52"/>
      <c r="E24" s="52"/>
      <c r="F24" s="52"/>
    </row>
    <row r="25" customFormat="false" ht="15" hidden="false" customHeight="true" outlineLevel="0" collapsed="false">
      <c r="A25" s="52"/>
      <c r="B25" s="52"/>
      <c r="C25" s="52"/>
      <c r="D25" s="52"/>
      <c r="E25" s="52"/>
      <c r="F25" s="52"/>
    </row>
    <row r="26" customFormat="false" ht="15" hidden="false" customHeight="true" outlineLevel="0" collapsed="false">
      <c r="A26" s="52"/>
      <c r="B26" s="52"/>
      <c r="C26" s="52"/>
      <c r="D26" s="52"/>
      <c r="E26" s="52"/>
      <c r="F26" s="52"/>
    </row>
    <row r="27" customFormat="false" ht="15" hidden="false" customHeight="true" outlineLevel="0" collapsed="false">
      <c r="A27" s="52"/>
      <c r="B27" s="52"/>
      <c r="C27" s="52"/>
      <c r="D27" s="52"/>
      <c r="E27" s="52"/>
      <c r="F27" s="52"/>
    </row>
    <row r="29" customFormat="false" ht="15" hidden="false" customHeight="true" outlineLevel="0" collapsed="false">
      <c r="A29" s="58" t="s">
        <v>1966</v>
      </c>
      <c r="B29" s="58"/>
      <c r="C29" s="58"/>
      <c r="D29" s="58"/>
      <c r="E29" s="58"/>
      <c r="F29" s="58"/>
    </row>
  </sheetData>
  <mergeCells count="2">
    <mergeCell ref="A1:F1"/>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12"/>
    <col collapsed="false" customWidth="true" hidden="false" outlineLevel="0" max="4" min="4" style="1" width="20"/>
    <col collapsed="false" customWidth="true" hidden="false" outlineLevel="0" max="5" min="5" style="1" width="16"/>
    <col collapsed="false" customWidth="true" hidden="false" outlineLevel="0" max="6" min="6" style="1" width="20"/>
    <col collapsed="false" customWidth="true" hidden="false" outlineLevel="0" max="7" min="7" style="1" width="18"/>
    <col collapsed="false" customWidth="true" hidden="false" outlineLevel="0" max="8" min="8" style="1" width="12"/>
    <col collapsed="false" customWidth="true" hidden="false" outlineLevel="0" max="9" min="9" style="1" width="20"/>
    <col collapsed="false" customWidth="true" hidden="false" outlineLevel="0" max="10" min="10" style="1" width="16"/>
  </cols>
  <sheetData>
    <row r="1" customFormat="false" ht="24" hidden="false" customHeight="true" outlineLevel="0" collapsed="false">
      <c r="A1" s="60" t="s">
        <v>1967</v>
      </c>
      <c r="B1" s="60"/>
      <c r="C1" s="60"/>
      <c r="D1" s="60"/>
      <c r="E1" s="60"/>
      <c r="F1" s="60"/>
      <c r="G1" s="60"/>
      <c r="H1" s="60"/>
      <c r="I1" s="60"/>
      <c r="J1" s="60"/>
    </row>
    <row r="2" customFormat="false" ht="27.75" hidden="false" customHeight="true" outlineLevel="0" collapsed="false">
      <c r="A2" s="61" t="s">
        <v>1568</v>
      </c>
      <c r="B2" s="61" t="s">
        <v>1968</v>
      </c>
      <c r="C2" s="61" t="s">
        <v>1969</v>
      </c>
      <c r="D2" s="61" t="s">
        <v>1970</v>
      </c>
      <c r="E2" s="61" t="s">
        <v>1447</v>
      </c>
      <c r="F2" s="61" t="s">
        <v>1971</v>
      </c>
      <c r="G2" s="61" t="s">
        <v>1972</v>
      </c>
      <c r="H2" s="61" t="s">
        <v>1973</v>
      </c>
      <c r="I2" s="61" t="s">
        <v>1974</v>
      </c>
      <c r="J2" s="61" t="s">
        <v>1975</v>
      </c>
    </row>
    <row r="3" customFormat="false" ht="15" hidden="false" customHeight="true" outlineLevel="0" collapsed="false">
      <c r="A3" s="8" t="s">
        <v>1976</v>
      </c>
      <c r="B3" s="8" t="s">
        <v>1977</v>
      </c>
      <c r="C3" s="66"/>
      <c r="D3" s="66"/>
      <c r="E3" s="66"/>
      <c r="F3" s="66"/>
      <c r="G3" s="66"/>
      <c r="H3" s="66"/>
      <c r="I3" s="66"/>
      <c r="J3" s="66" t="s">
        <v>386</v>
      </c>
    </row>
    <row r="4" customFormat="false" ht="15" hidden="false" customHeight="true" outlineLevel="0" collapsed="false">
      <c r="A4" s="8" t="s">
        <v>1978</v>
      </c>
      <c r="B4" s="8" t="s">
        <v>1979</v>
      </c>
      <c r="C4" s="66"/>
      <c r="D4" s="66"/>
      <c r="E4" s="66"/>
      <c r="F4" s="66"/>
      <c r="G4" s="66"/>
      <c r="H4" s="66"/>
      <c r="I4" s="66"/>
      <c r="J4" s="66" t="s">
        <v>386</v>
      </c>
    </row>
    <row r="5" customFormat="false" ht="15" hidden="false" customHeight="true" outlineLevel="0" collapsed="false">
      <c r="A5" s="52"/>
      <c r="B5" s="52"/>
      <c r="C5" s="52"/>
      <c r="D5" s="52"/>
      <c r="E5" s="52"/>
      <c r="F5" s="52"/>
      <c r="G5" s="52"/>
      <c r="H5" s="52"/>
      <c r="I5" s="52"/>
      <c r="J5" s="52"/>
    </row>
    <row r="6" customFormat="false" ht="15" hidden="false" customHeight="true" outlineLevel="0" collapsed="false">
      <c r="A6" s="52"/>
      <c r="B6" s="52"/>
      <c r="C6" s="52"/>
      <c r="D6" s="52"/>
      <c r="E6" s="52"/>
      <c r="F6" s="52"/>
      <c r="G6" s="52"/>
      <c r="H6" s="52"/>
      <c r="I6" s="52"/>
      <c r="J6" s="52"/>
    </row>
    <row r="7" customFormat="false" ht="15" hidden="false" customHeight="true" outlineLevel="0" collapsed="false">
      <c r="A7" s="52"/>
      <c r="B7" s="52"/>
      <c r="C7" s="52"/>
      <c r="D7" s="52"/>
      <c r="E7" s="52"/>
      <c r="F7" s="52"/>
      <c r="G7" s="52"/>
      <c r="H7" s="52"/>
      <c r="I7" s="52"/>
      <c r="J7" s="52"/>
    </row>
    <row r="8" customFormat="false" ht="15" hidden="false" customHeight="true" outlineLevel="0" collapsed="false">
      <c r="A8" s="52"/>
      <c r="B8" s="52"/>
      <c r="C8" s="52"/>
      <c r="D8" s="52"/>
      <c r="E8" s="52"/>
      <c r="F8" s="52"/>
      <c r="G8" s="52"/>
      <c r="H8" s="52"/>
      <c r="I8" s="52"/>
      <c r="J8" s="52"/>
    </row>
    <row r="9" customFormat="false" ht="15" hidden="false" customHeight="true" outlineLevel="0" collapsed="false">
      <c r="A9" s="52"/>
      <c r="B9" s="52"/>
      <c r="C9" s="52"/>
      <c r="D9" s="52"/>
      <c r="E9" s="52"/>
      <c r="F9" s="52"/>
      <c r="G9" s="52"/>
      <c r="H9" s="52"/>
      <c r="I9" s="52"/>
      <c r="J9" s="52"/>
    </row>
    <row r="10" customFormat="false" ht="15" hidden="false" customHeight="true" outlineLevel="0" collapsed="false">
      <c r="A10" s="52"/>
      <c r="B10" s="52"/>
      <c r="C10" s="52"/>
      <c r="D10" s="52"/>
      <c r="E10" s="52"/>
      <c r="F10" s="52"/>
      <c r="G10" s="52"/>
      <c r="H10" s="52"/>
      <c r="I10" s="52"/>
      <c r="J10" s="52"/>
    </row>
    <row r="11" customFormat="false" ht="15" hidden="false" customHeight="true" outlineLevel="0" collapsed="false">
      <c r="A11" s="52"/>
      <c r="B11" s="52"/>
      <c r="C11" s="52"/>
      <c r="D11" s="52"/>
      <c r="E11" s="52"/>
      <c r="F11" s="52"/>
      <c r="G11" s="52"/>
      <c r="H11" s="52"/>
      <c r="I11" s="52"/>
      <c r="J11" s="52"/>
    </row>
    <row r="12" customFormat="false" ht="15" hidden="false" customHeight="true" outlineLevel="0" collapsed="false">
      <c r="A12" s="52"/>
      <c r="B12" s="52"/>
      <c r="C12" s="52"/>
      <c r="D12" s="52"/>
      <c r="E12" s="52"/>
      <c r="F12" s="52"/>
      <c r="G12" s="52"/>
      <c r="H12" s="52"/>
      <c r="I12" s="52"/>
      <c r="J12" s="52"/>
    </row>
    <row r="13" customFormat="false" ht="15" hidden="false" customHeight="true" outlineLevel="0" collapsed="false">
      <c r="A13" s="52"/>
      <c r="B13" s="52"/>
      <c r="C13" s="52"/>
      <c r="D13" s="52"/>
      <c r="E13" s="52"/>
      <c r="F13" s="52"/>
      <c r="G13" s="52"/>
      <c r="H13" s="52"/>
      <c r="I13" s="52"/>
      <c r="J13" s="52"/>
    </row>
    <row r="14" customFormat="false" ht="15" hidden="false" customHeight="true" outlineLevel="0" collapsed="false">
      <c r="A14" s="52"/>
      <c r="B14" s="52"/>
      <c r="C14" s="52"/>
      <c r="D14" s="52"/>
      <c r="E14" s="52"/>
      <c r="F14" s="52"/>
      <c r="G14" s="52"/>
      <c r="H14" s="52"/>
      <c r="I14" s="52"/>
      <c r="J14" s="52"/>
    </row>
    <row r="15" customFormat="false" ht="15" hidden="false" customHeight="true" outlineLevel="0" collapsed="false">
      <c r="A15" s="52"/>
      <c r="B15" s="52"/>
      <c r="C15" s="52"/>
      <c r="D15" s="52"/>
      <c r="E15" s="52"/>
      <c r="F15" s="52"/>
      <c r="G15" s="52"/>
      <c r="H15" s="52"/>
      <c r="I15" s="52"/>
      <c r="J15" s="52"/>
    </row>
    <row r="16" customFormat="false" ht="15" hidden="false" customHeight="true" outlineLevel="0" collapsed="false">
      <c r="A16" s="52"/>
      <c r="B16" s="52"/>
      <c r="C16" s="52"/>
      <c r="D16" s="52"/>
      <c r="E16" s="52"/>
      <c r="F16" s="52"/>
      <c r="G16" s="52"/>
      <c r="H16" s="52"/>
      <c r="I16" s="52"/>
      <c r="J16" s="52"/>
    </row>
    <row r="17" customFormat="false" ht="15" hidden="false" customHeight="true" outlineLevel="0" collapsed="false">
      <c r="A17" s="52"/>
      <c r="B17" s="52"/>
      <c r="C17" s="52"/>
      <c r="D17" s="52"/>
      <c r="E17" s="52"/>
      <c r="F17" s="52"/>
      <c r="G17" s="52"/>
      <c r="H17" s="52"/>
      <c r="I17" s="52"/>
      <c r="J17" s="52"/>
    </row>
    <row r="18" customFormat="false" ht="15" hidden="false" customHeight="true" outlineLevel="0" collapsed="false">
      <c r="A18" s="52"/>
      <c r="B18" s="52"/>
      <c r="C18" s="52"/>
      <c r="D18" s="52"/>
      <c r="E18" s="52"/>
      <c r="F18" s="52"/>
      <c r="G18" s="52"/>
      <c r="H18" s="52"/>
      <c r="I18" s="52"/>
      <c r="J18" s="52"/>
    </row>
    <row r="19" customFormat="false" ht="15" hidden="false" customHeight="true" outlineLevel="0" collapsed="false">
      <c r="A19" s="52"/>
      <c r="B19" s="52"/>
      <c r="C19" s="52"/>
      <c r="D19" s="52"/>
      <c r="E19" s="52"/>
      <c r="F19" s="52"/>
      <c r="G19" s="52"/>
      <c r="H19" s="52"/>
      <c r="I19" s="52"/>
      <c r="J19" s="52"/>
    </row>
    <row r="21" customFormat="false" ht="15" hidden="false" customHeight="true" outlineLevel="0" collapsed="false">
      <c r="A21" s="58" t="s">
        <v>1980</v>
      </c>
      <c r="B21" s="58"/>
      <c r="C21" s="58"/>
      <c r="D21" s="58"/>
      <c r="E21" s="58"/>
      <c r="F21" s="58"/>
      <c r="G21" s="58"/>
      <c r="H21" s="58"/>
      <c r="I21" s="58"/>
      <c r="J21" s="58"/>
    </row>
  </sheetData>
  <mergeCells count="2">
    <mergeCell ref="A1:J1"/>
    <mergeCell ref="A21:J21"/>
  </mergeCells>
  <conditionalFormatting sqref="C3:C21">
    <cfRule type="cellIs" priority="2" operator="equal" aboveAverage="0" equalAverage="0" bottom="0" percent="0" rank="0" text="" dxfId="2">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
      <formula>"Requested"</formula>
    </cfRule>
  </conditionalFormatting>
  <conditionalFormatting sqref="F3:F21">
    <cfRule type="cellIs" priority="6" operator="equal" aboveAverage="0" equalAverage="0" bottom="0" percent="0" rank="0" text="" dxfId="2">
      <formula>"Yes"</formula>
    </cfRule>
    <cfRule type="cellIs" priority="7" operator="equal" aboveAverage="0" equalAverage="0" bottom="0" percent="0" rank="0" text="" dxfId="3">
      <formula>"No"</formula>
    </cfRule>
    <cfRule type="cellIs" priority="8" operator="equal" aboveAverage="0" equalAverage="0" bottom="0" percent="0" rank="0" text="" dxfId="5">
      <formula>"Partial"</formula>
    </cfRule>
    <cfRule type="cellIs" priority="9" operator="equal" aboveAverage="0" equalAverage="0" bottom="0" percent="0" rank="0" text="" dxfId="1">
      <formula>"Requested"</formula>
    </cfRule>
  </conditionalFormatting>
  <conditionalFormatting sqref="G3:G21">
    <cfRule type="cellIs" priority="10" operator="equal" aboveAverage="0" equalAverage="0" bottom="0" percent="0" rank="0" text="" dxfId="2">
      <formula>"Yes"</formula>
    </cfRule>
    <cfRule type="cellIs" priority="11" operator="equal" aboveAverage="0" equalAverage="0" bottom="0" percent="0" rank="0" text="" dxfId="3">
      <formula>"No"</formula>
    </cfRule>
    <cfRule type="cellIs" priority="12" operator="equal" aboveAverage="0" equalAverage="0" bottom="0" percent="0" rank="0" text="" dxfId="5">
      <formula>"Partial"</formula>
    </cfRule>
    <cfRule type="cellIs" priority="13" operator="equal" aboveAverage="0" equalAverage="0" bottom="0" percent="0" rank="0" text="" dxfId="1">
      <formula>"Requested"</formula>
    </cfRule>
  </conditionalFormatting>
  <conditionalFormatting sqref="I3:I21">
    <cfRule type="cellIs" priority="14" operator="equal" aboveAverage="0" equalAverage="0" bottom="0" percent="0" rank="0" text="" dxfId="2">
      <formula>"Yes"</formula>
    </cfRule>
    <cfRule type="cellIs" priority="15" operator="equal" aboveAverage="0" equalAverage="0" bottom="0" percent="0" rank="0" text="" dxfId="3">
      <formula>"No"</formula>
    </cfRule>
    <cfRule type="cellIs" priority="16" operator="equal" aboveAverage="0" equalAverage="0" bottom="0" percent="0" rank="0" text="" dxfId="5">
      <formula>"Partial"</formula>
    </cfRule>
    <cfRule type="cellIs" priority="17" operator="equal" aboveAverage="0" equalAverage="0" bottom="0" percent="0" rank="0" text="" dxfId="1">
      <formula>"Requested"</formula>
    </cfRule>
  </conditionalFormatting>
  <conditionalFormatting sqref="J3:J21">
    <cfRule type="cellIs" priority="18" operator="equal" aboveAverage="0" equalAverage="0" bottom="0" percent="0" rank="0" text="" dxfId="2">
      <formula>"Approved"</formula>
    </cfRule>
    <cfRule type="cellIs" priority="19" operator="equal" aboveAverage="0" equalAverage="0" bottom="0" percent="0" rank="0" text="" dxfId="3">
      <formula>"Rejected"</formula>
    </cfRule>
    <cfRule type="cellIs" priority="20" operator="equal" aboveAverage="0" equalAverage="0" bottom="0" percent="0" rank="0" text="" dxfId="5">
      <formula>"Conditional"</formula>
    </cfRule>
    <cfRule type="cellIs" priority="21" operator="equal" aboveAverage="0" equalAverage="0" bottom="0" percent="0" rank="0" text="" dxfId="1">
      <formula>"In Progress"</formula>
    </cfRule>
    <cfRule type="cellIs" priority="22" operator="equal" aboveAverage="0" equalAverage="0" bottom="0" percent="0" rank="0" text="" dxfId="0">
      <formula>"Not Started"</formula>
    </cfRule>
  </conditionalFormatting>
  <dataValidations count="5">
    <dataValidation allowBlank="true" errorStyle="stop" operator="between" showDropDown="false" showErrorMessage="false" showInputMessage="false" sqref="C3:C19" type="list">
      <formula1>"Yes,No,Partial,Requested"</formula1>
      <formula2>0</formula2>
    </dataValidation>
    <dataValidation allowBlank="true" errorStyle="stop" operator="between" showDropDown="false" showErrorMessage="false" showInputMessage="false" sqref="F3:F19" type="list">
      <formula1>"Yes,No,Partial,Requested"</formula1>
      <formula2>0</formula2>
    </dataValidation>
    <dataValidation allowBlank="true" errorStyle="stop" operator="between" showDropDown="false" showErrorMessage="false" showInputMessage="false" sqref="G3:G19" type="list">
      <formula1>"Yes,No,Partial,Requested"</formula1>
      <formula2>0</formula2>
    </dataValidation>
    <dataValidation allowBlank="true" errorStyle="stop" operator="between" showDropDown="false" showErrorMessage="false" showInputMessage="false" sqref="I3:I19" type="list">
      <formula1>"Yes,No,Partial,Requested"</formula1>
      <formula2>0</formula2>
    </dataValidation>
    <dataValidation allowBlank="true" errorStyle="stop" operator="between" showDropDown="false" showErrorMessage="false" showInputMessage="false" sqref="J3:J19" type="list">
      <formula1>"Not Started,In Progress,Approved,Rejected,Conditional"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4"/>
  </cols>
  <sheetData>
    <row r="1" customFormat="false" ht="24" hidden="false" customHeight="true" outlineLevel="0" collapsed="false">
      <c r="A1" s="60" t="s">
        <v>1981</v>
      </c>
      <c r="B1" s="60"/>
      <c r="C1" s="60"/>
      <c r="D1" s="60"/>
      <c r="E1" s="60"/>
      <c r="F1" s="60"/>
      <c r="G1" s="60"/>
      <c r="H1" s="60"/>
      <c r="I1" s="60"/>
    </row>
    <row r="2" customFormat="false" ht="30" hidden="false" customHeight="true" outlineLevel="0" collapsed="false">
      <c r="A2" s="61" t="s">
        <v>1982</v>
      </c>
      <c r="B2" s="61" t="s">
        <v>221</v>
      </c>
      <c r="C2" s="61" t="s">
        <v>1962</v>
      </c>
      <c r="D2" s="61" t="s">
        <v>249</v>
      </c>
      <c r="E2" s="61" t="s">
        <v>1288</v>
      </c>
      <c r="F2" s="61" t="s">
        <v>434</v>
      </c>
      <c r="G2" s="61" t="s">
        <v>1741</v>
      </c>
      <c r="H2" s="61" t="s">
        <v>1703</v>
      </c>
      <c r="I2" s="61" t="s">
        <v>1983</v>
      </c>
    </row>
    <row r="3" customFormat="false" ht="15" hidden="false" customHeight="true" outlineLevel="0" collapsed="false">
      <c r="A3" s="8" t="s">
        <v>1984</v>
      </c>
      <c r="B3" s="66" t="s">
        <v>1985</v>
      </c>
      <c r="C3" s="66" t="s">
        <v>1986</v>
      </c>
      <c r="D3" s="66" t="s">
        <v>1985</v>
      </c>
      <c r="E3" s="66" t="s">
        <v>1987</v>
      </c>
      <c r="F3" s="66" t="s">
        <v>1987</v>
      </c>
      <c r="G3" s="66" t="s">
        <v>1985</v>
      </c>
      <c r="H3" s="66" t="s">
        <v>1985</v>
      </c>
      <c r="I3" s="66" t="s">
        <v>1987</v>
      </c>
    </row>
    <row r="4" customFormat="false" ht="15" hidden="false" customHeight="true" outlineLevel="0" collapsed="false">
      <c r="A4" s="8" t="s">
        <v>1988</v>
      </c>
      <c r="B4" s="66" t="s">
        <v>1986</v>
      </c>
      <c r="C4" s="66" t="s">
        <v>1985</v>
      </c>
      <c r="D4" s="66" t="s">
        <v>1985</v>
      </c>
      <c r="E4" s="66" t="s">
        <v>1985</v>
      </c>
      <c r="F4" s="66" t="s">
        <v>1987</v>
      </c>
      <c r="G4" s="66" t="s">
        <v>1985</v>
      </c>
      <c r="H4" s="66" t="s">
        <v>1985</v>
      </c>
      <c r="I4" s="66" t="s">
        <v>1987</v>
      </c>
    </row>
    <row r="5" customFormat="false" ht="15" hidden="false" customHeight="true" outlineLevel="0" collapsed="false">
      <c r="A5" s="8" t="s">
        <v>1989</v>
      </c>
      <c r="B5" s="66" t="s">
        <v>1986</v>
      </c>
      <c r="C5" s="66" t="s">
        <v>1985</v>
      </c>
      <c r="D5" s="66" t="s">
        <v>1985</v>
      </c>
      <c r="E5" s="66" t="s">
        <v>1985</v>
      </c>
      <c r="F5" s="66" t="s">
        <v>1987</v>
      </c>
      <c r="G5" s="66" t="s">
        <v>1990</v>
      </c>
      <c r="H5" s="66" t="s">
        <v>1985</v>
      </c>
      <c r="I5" s="66" t="s">
        <v>1987</v>
      </c>
    </row>
    <row r="6" customFormat="false" ht="15" hidden="false" customHeight="true" outlineLevel="0" collapsed="false">
      <c r="A6" s="8" t="s">
        <v>1991</v>
      </c>
      <c r="B6" s="66" t="s">
        <v>1985</v>
      </c>
      <c r="C6" s="66" t="s">
        <v>1987</v>
      </c>
      <c r="D6" s="66" t="s">
        <v>1986</v>
      </c>
      <c r="E6" s="66" t="s">
        <v>1987</v>
      </c>
      <c r="F6" s="66" t="s">
        <v>1985</v>
      </c>
      <c r="G6" s="66" t="s">
        <v>1987</v>
      </c>
      <c r="H6" s="66" t="s">
        <v>1987</v>
      </c>
      <c r="I6" s="66" t="s">
        <v>1985</v>
      </c>
    </row>
    <row r="7" customFormat="false" ht="15" hidden="false" customHeight="true" outlineLevel="0" collapsed="false">
      <c r="A7" s="8" t="s">
        <v>1992</v>
      </c>
      <c r="B7" s="66" t="s">
        <v>1987</v>
      </c>
      <c r="C7" s="66" t="s">
        <v>1985</v>
      </c>
      <c r="D7" s="66" t="s">
        <v>1986</v>
      </c>
      <c r="E7" s="66" t="s">
        <v>1985</v>
      </c>
      <c r="F7" s="66" t="s">
        <v>1985</v>
      </c>
      <c r="G7" s="66" t="s">
        <v>1987</v>
      </c>
      <c r="H7" s="66" t="s">
        <v>1987</v>
      </c>
      <c r="I7" s="66" t="s">
        <v>1985</v>
      </c>
    </row>
    <row r="8" customFormat="false" ht="15" hidden="false" customHeight="true" outlineLevel="0" collapsed="false">
      <c r="A8" s="8" t="s">
        <v>1993</v>
      </c>
      <c r="B8" s="66" t="s">
        <v>1994</v>
      </c>
      <c r="C8" s="66" t="s">
        <v>1987</v>
      </c>
      <c r="D8" s="66" t="s">
        <v>1985</v>
      </c>
      <c r="E8" s="66" t="s">
        <v>1985</v>
      </c>
      <c r="F8" s="66" t="s">
        <v>1990</v>
      </c>
      <c r="G8" s="66" t="s">
        <v>1987</v>
      </c>
      <c r="H8" s="66" t="s">
        <v>1985</v>
      </c>
      <c r="I8" s="66" t="s">
        <v>1987</v>
      </c>
    </row>
    <row r="9" customFormat="false" ht="15" hidden="false" customHeight="true" outlineLevel="0" collapsed="false">
      <c r="A9" s="8" t="s">
        <v>1995</v>
      </c>
      <c r="B9" s="66" t="s">
        <v>1994</v>
      </c>
      <c r="C9" s="66" t="s">
        <v>1985</v>
      </c>
      <c r="D9" s="66" t="s">
        <v>1990</v>
      </c>
      <c r="E9" s="66" t="s">
        <v>1987</v>
      </c>
      <c r="F9" s="66" t="s">
        <v>1985</v>
      </c>
      <c r="G9" s="66" t="s">
        <v>1985</v>
      </c>
      <c r="H9" s="66" t="s">
        <v>1985</v>
      </c>
      <c r="I9" s="66" t="s">
        <v>1987</v>
      </c>
    </row>
    <row r="10" customFormat="false" ht="15" hidden="false" customHeight="true" outlineLevel="0" collapsed="false">
      <c r="A10" s="8" t="s">
        <v>1996</v>
      </c>
      <c r="B10" s="66" t="s">
        <v>1985</v>
      </c>
      <c r="C10" s="66" t="s">
        <v>1987</v>
      </c>
      <c r="D10" s="66" t="s">
        <v>1985</v>
      </c>
      <c r="E10" s="66" t="s">
        <v>1986</v>
      </c>
      <c r="F10" s="66" t="s">
        <v>1985</v>
      </c>
      <c r="G10" s="66" t="s">
        <v>1987</v>
      </c>
      <c r="H10" s="66" t="s">
        <v>1987</v>
      </c>
      <c r="I10" s="66" t="s">
        <v>1985</v>
      </c>
    </row>
    <row r="11" customFormat="false" ht="15" hidden="false" customHeight="true" outlineLevel="0" collapsed="false">
      <c r="A11" s="8" t="s">
        <v>1997</v>
      </c>
      <c r="B11" s="66" t="s">
        <v>1986</v>
      </c>
      <c r="C11" s="66" t="s">
        <v>1985</v>
      </c>
      <c r="D11" s="66" t="s">
        <v>1985</v>
      </c>
      <c r="E11" s="66" t="s">
        <v>1985</v>
      </c>
      <c r="F11" s="66" t="s">
        <v>1985</v>
      </c>
      <c r="G11" s="66" t="s">
        <v>1985</v>
      </c>
      <c r="H11" s="66" t="s">
        <v>1985</v>
      </c>
      <c r="I11" s="66" t="s">
        <v>1987</v>
      </c>
    </row>
    <row r="12" customFormat="false" ht="15" hidden="false" customHeight="true" outlineLevel="0" collapsed="false">
      <c r="A12" s="8" t="s">
        <v>265</v>
      </c>
      <c r="B12" s="66" t="s">
        <v>1985</v>
      </c>
      <c r="C12" s="66" t="s">
        <v>1985</v>
      </c>
      <c r="D12" s="66" t="s">
        <v>1990</v>
      </c>
      <c r="E12" s="66" t="s">
        <v>1985</v>
      </c>
      <c r="F12" s="66" t="s">
        <v>1985</v>
      </c>
      <c r="G12" s="66" t="s">
        <v>1987</v>
      </c>
      <c r="H12" s="66" t="s">
        <v>1987</v>
      </c>
      <c r="I12" s="66" t="s">
        <v>1994</v>
      </c>
    </row>
    <row r="13" customFormat="false" ht="15" hidden="false" customHeight="true" outlineLevel="0" collapsed="false">
      <c r="A13" s="8" t="s">
        <v>1998</v>
      </c>
      <c r="B13" s="66" t="s">
        <v>1994</v>
      </c>
      <c r="C13" s="66" t="s">
        <v>1987</v>
      </c>
      <c r="D13" s="66" t="s">
        <v>1990</v>
      </c>
      <c r="E13" s="66" t="s">
        <v>1985</v>
      </c>
      <c r="F13" s="66" t="s">
        <v>1985</v>
      </c>
      <c r="G13" s="66" t="s">
        <v>1987</v>
      </c>
      <c r="H13" s="66" t="s">
        <v>1987</v>
      </c>
      <c r="I13" s="66" t="s">
        <v>1990</v>
      </c>
    </row>
    <row r="14" customFormat="false" ht="15" hidden="false" customHeight="true" outlineLevel="0" collapsed="false">
      <c r="A14" s="8" t="s">
        <v>1999</v>
      </c>
      <c r="B14" s="66" t="s">
        <v>1986</v>
      </c>
      <c r="C14" s="66" t="s">
        <v>1985</v>
      </c>
      <c r="D14" s="66" t="s">
        <v>1985</v>
      </c>
      <c r="E14" s="66" t="s">
        <v>1990</v>
      </c>
      <c r="F14" s="66" t="s">
        <v>1985</v>
      </c>
      <c r="G14" s="66" t="s">
        <v>1985</v>
      </c>
      <c r="H14" s="66" t="s">
        <v>1985</v>
      </c>
      <c r="I14" s="66" t="s">
        <v>1990</v>
      </c>
    </row>
    <row r="15" customFormat="false" ht="15" hidden="false" customHeight="true" outlineLevel="0" collapsed="false">
      <c r="A15" s="8" t="s">
        <v>2000</v>
      </c>
      <c r="B15" s="66" t="s">
        <v>1994</v>
      </c>
      <c r="C15" s="66" t="s">
        <v>1985</v>
      </c>
      <c r="D15" s="66" t="s">
        <v>1985</v>
      </c>
      <c r="E15" s="66" t="s">
        <v>1990</v>
      </c>
      <c r="F15" s="66" t="s">
        <v>1987</v>
      </c>
      <c r="G15" s="66" t="s">
        <v>1985</v>
      </c>
      <c r="H15" s="66" t="s">
        <v>1990</v>
      </c>
      <c r="I15" s="66" t="s">
        <v>1985</v>
      </c>
    </row>
    <row r="16" customFormat="false" ht="15" hidden="false" customHeight="true" outlineLevel="0" collapsed="false">
      <c r="A16" s="8" t="s">
        <v>2001</v>
      </c>
      <c r="B16" s="66" t="s">
        <v>1986</v>
      </c>
      <c r="C16" s="66" t="s">
        <v>1985</v>
      </c>
      <c r="D16" s="66" t="s">
        <v>1985</v>
      </c>
      <c r="E16" s="66" t="s">
        <v>1985</v>
      </c>
      <c r="F16" s="66" t="s">
        <v>1985</v>
      </c>
      <c r="G16" s="66" t="s">
        <v>1985</v>
      </c>
      <c r="H16" s="66" t="s">
        <v>1990</v>
      </c>
      <c r="I16" s="66" t="s">
        <v>1987</v>
      </c>
    </row>
    <row r="17" customFormat="false" ht="15" hidden="false" customHeight="true" outlineLevel="0" collapsed="false">
      <c r="A17" s="8" t="s">
        <v>2002</v>
      </c>
      <c r="B17" s="66" t="s">
        <v>1986</v>
      </c>
      <c r="C17" s="66" t="s">
        <v>1987</v>
      </c>
      <c r="D17" s="66" t="s">
        <v>1987</v>
      </c>
      <c r="E17" s="66" t="s">
        <v>1987</v>
      </c>
      <c r="F17" s="66" t="s">
        <v>1987</v>
      </c>
      <c r="G17" s="66" t="s">
        <v>1985</v>
      </c>
      <c r="H17" s="66" t="s">
        <v>1990</v>
      </c>
      <c r="I17" s="66" t="s">
        <v>1987</v>
      </c>
    </row>
    <row r="18" customFormat="false" ht="15" hidden="false" customHeight="true" outlineLevel="0" collapsed="false">
      <c r="A18" s="8" t="s">
        <v>276</v>
      </c>
      <c r="B18" s="66" t="s">
        <v>1985</v>
      </c>
      <c r="C18" s="66" t="s">
        <v>1987</v>
      </c>
      <c r="D18" s="66" t="s">
        <v>1985</v>
      </c>
      <c r="E18" s="66" t="s">
        <v>1985</v>
      </c>
      <c r="F18" s="66" t="s">
        <v>1985</v>
      </c>
      <c r="G18" s="66" t="s">
        <v>1985</v>
      </c>
      <c r="H18" s="66" t="s">
        <v>1986</v>
      </c>
      <c r="I18" s="66" t="s">
        <v>1985</v>
      </c>
    </row>
    <row r="20" customFormat="false" ht="15" hidden="false" customHeight="true" outlineLevel="0" collapsed="false">
      <c r="A20" s="58" t="s">
        <v>2003</v>
      </c>
      <c r="B20" s="58"/>
      <c r="C20" s="58"/>
      <c r="D20" s="58"/>
      <c r="E20" s="58"/>
    </row>
  </sheetData>
  <mergeCells count="2">
    <mergeCell ref="A1:I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5" min="3" style="1" width="26"/>
    <col collapsed="false" customWidth="true" hidden="false" outlineLevel="0" max="6" min="6" style="1" width="22"/>
    <col collapsed="false" customWidth="true" hidden="false" outlineLevel="0" max="7" min="7" style="1" width="28"/>
    <col collapsed="false" customWidth="true" hidden="false" outlineLevel="0" max="8" min="8" style="1" width="16"/>
    <col collapsed="false" customWidth="true" hidden="false" outlineLevel="0" max="9" min="9" style="1" width="12"/>
    <col collapsed="false" customWidth="true" hidden="false" outlineLevel="0" max="10" min="10" style="1" width="10"/>
    <col collapsed="false" customWidth="true" hidden="false" outlineLevel="0" max="12" min="12" style="1" width="26"/>
    <col collapsed="false" customWidth="true" hidden="false" outlineLevel="0" max="13" min="13" style="1" width="10"/>
  </cols>
  <sheetData>
    <row r="1" customFormat="false" ht="24" hidden="false" customHeight="true" outlineLevel="0" collapsed="false">
      <c r="A1" s="60" t="s">
        <v>2004</v>
      </c>
      <c r="B1" s="60"/>
      <c r="C1" s="60"/>
      <c r="D1" s="60"/>
      <c r="E1" s="60"/>
      <c r="F1" s="60"/>
      <c r="G1" s="60"/>
      <c r="H1" s="60"/>
      <c r="I1" s="60"/>
      <c r="J1" s="60"/>
    </row>
    <row r="2" customFormat="false" ht="30" hidden="false" customHeight="true" outlineLevel="0" collapsed="false">
      <c r="A2" s="61" t="s">
        <v>2005</v>
      </c>
      <c r="B2" s="61" t="s">
        <v>2006</v>
      </c>
      <c r="C2" s="61" t="s">
        <v>2007</v>
      </c>
      <c r="D2" s="61" t="s">
        <v>418</v>
      </c>
      <c r="E2" s="61" t="s">
        <v>2008</v>
      </c>
      <c r="F2" s="61" t="s">
        <v>2009</v>
      </c>
      <c r="G2" s="61" t="s">
        <v>2010</v>
      </c>
      <c r="H2" s="61" t="s">
        <v>209</v>
      </c>
      <c r="I2" s="61" t="s">
        <v>2011</v>
      </c>
      <c r="J2" s="61" t="s">
        <v>381</v>
      </c>
      <c r="L2" s="42" t="s">
        <v>2012</v>
      </c>
      <c r="M2" s="42"/>
    </row>
    <row r="3" customFormat="false" ht="23.25" hidden="false" customHeight="true" outlineLevel="0" collapsed="false">
      <c r="A3" s="66" t="s">
        <v>2013</v>
      </c>
      <c r="B3" s="66" t="s">
        <v>1663</v>
      </c>
      <c r="C3" s="8" t="s">
        <v>2014</v>
      </c>
      <c r="D3" s="8" t="s">
        <v>2015</v>
      </c>
      <c r="E3" s="8" t="s">
        <v>2016</v>
      </c>
      <c r="F3" s="8" t="s">
        <v>2017</v>
      </c>
      <c r="G3" s="8" t="s">
        <v>2018</v>
      </c>
      <c r="H3" s="66" t="s">
        <v>389</v>
      </c>
      <c r="I3" s="66" t="s">
        <v>2019</v>
      </c>
      <c r="J3" s="66" t="s">
        <v>1587</v>
      </c>
      <c r="L3" s="51" t="s">
        <v>2020</v>
      </c>
      <c r="M3" s="59" t="n">
        <f aca="false">COUNTIF(D3:D200,"Approved*")</f>
        <v>2</v>
      </c>
    </row>
    <row r="4" customFormat="false" ht="23.25" hidden="false" customHeight="true" outlineLevel="0" collapsed="false">
      <c r="A4" s="66" t="s">
        <v>2021</v>
      </c>
      <c r="B4" s="66" t="s">
        <v>1663</v>
      </c>
      <c r="C4" s="8" t="s">
        <v>2022</v>
      </c>
      <c r="D4" s="8" t="s">
        <v>2023</v>
      </c>
      <c r="E4" s="8" t="s">
        <v>2024</v>
      </c>
      <c r="F4" s="8" t="s">
        <v>2024</v>
      </c>
      <c r="G4" s="8" t="s">
        <v>2025</v>
      </c>
      <c r="H4" s="66" t="s">
        <v>1624</v>
      </c>
      <c r="I4" s="66" t="s">
        <v>2026</v>
      </c>
      <c r="J4" s="66" t="s">
        <v>1587</v>
      </c>
      <c r="L4" s="51" t="s">
        <v>2027</v>
      </c>
      <c r="M4" s="59" t="n">
        <f aca="false">COUNTIF(D3:D200,"Deferred*")+COUNTIF(D3:D200,"Rejected*")</f>
        <v>1</v>
      </c>
    </row>
    <row r="5" customFormat="false" ht="23.25" hidden="false" customHeight="true" outlineLevel="0" collapsed="false">
      <c r="A5" s="66" t="s">
        <v>2028</v>
      </c>
      <c r="B5" s="66" t="s">
        <v>1655</v>
      </c>
      <c r="C5" s="8" t="s">
        <v>2029</v>
      </c>
      <c r="D5" s="8" t="s">
        <v>2030</v>
      </c>
      <c r="E5" s="8" t="s">
        <v>2024</v>
      </c>
      <c r="F5" s="8" t="s">
        <v>2031</v>
      </c>
      <c r="G5" s="8" t="s">
        <v>2032</v>
      </c>
      <c r="H5" s="66" t="s">
        <v>221</v>
      </c>
      <c r="I5" s="66" t="s">
        <v>1656</v>
      </c>
      <c r="J5" s="66" t="s">
        <v>1587</v>
      </c>
      <c r="L5" s="51" t="s">
        <v>2033</v>
      </c>
      <c r="M5" s="59" t="n">
        <f aca="false">COUNTIF(F3:F200,"*exception*")+COUNTIF(F3:F200,"*Exception*")</f>
        <v>2</v>
      </c>
    </row>
    <row r="6" customFormat="false" ht="15" hidden="false" customHeight="true" outlineLevel="0" collapsed="false">
      <c r="A6" s="52"/>
      <c r="B6" s="52"/>
      <c r="C6" s="52"/>
      <c r="D6" s="52"/>
      <c r="E6" s="52"/>
      <c r="F6" s="52"/>
      <c r="G6" s="52"/>
      <c r="H6" s="52"/>
      <c r="I6" s="52"/>
      <c r="J6" s="52"/>
      <c r="L6" s="51" t="s">
        <v>2034</v>
      </c>
      <c r="M6" s="59" t="n">
        <f aca="false">COUNTIF(E3:E200,"*accepted*")+COUNTIF(E3:E200,"*Accepted*")</f>
        <v>2</v>
      </c>
    </row>
    <row r="7" customFormat="false" ht="15" hidden="false" customHeight="true" outlineLevel="0" collapsed="false">
      <c r="A7" s="52"/>
      <c r="B7" s="52"/>
      <c r="C7" s="52"/>
      <c r="D7" s="52"/>
      <c r="E7" s="52"/>
      <c r="F7" s="52"/>
      <c r="G7" s="52"/>
      <c r="H7" s="52"/>
      <c r="I7" s="52"/>
      <c r="J7" s="52"/>
      <c r="L7" s="51" t="s">
        <v>2035</v>
      </c>
      <c r="M7" s="59" t="n">
        <f aca="false">COUNTIF(J3:J200,"Open")</f>
        <v>3</v>
      </c>
    </row>
    <row r="8" customFormat="false" ht="15" hidden="false" customHeight="true" outlineLevel="0" collapsed="false">
      <c r="A8" s="52"/>
      <c r="B8" s="52"/>
      <c r="C8" s="52"/>
      <c r="D8" s="52"/>
      <c r="E8" s="52"/>
      <c r="F8" s="52"/>
      <c r="G8" s="52"/>
      <c r="H8" s="52"/>
      <c r="I8" s="52"/>
      <c r="J8" s="52"/>
      <c r="L8" s="51" t="s">
        <v>2036</v>
      </c>
      <c r="M8" s="59" t="n">
        <f aca="false">COUNTIF(J3:J200,"In Progress")</f>
        <v>0</v>
      </c>
    </row>
    <row r="9" customFormat="false" ht="15" hidden="false" customHeight="true" outlineLevel="0" collapsed="false">
      <c r="A9" s="52"/>
      <c r="B9" s="52"/>
      <c r="C9" s="52"/>
      <c r="D9" s="52"/>
      <c r="E9" s="52"/>
      <c r="F9" s="52"/>
      <c r="G9" s="52"/>
      <c r="H9" s="52"/>
      <c r="I9" s="52"/>
      <c r="J9" s="52"/>
      <c r="L9" s="51" t="s">
        <v>1625</v>
      </c>
      <c r="M9" s="59" t="n">
        <f aca="false">COUNTIF(J3:J200,"Closed")</f>
        <v>0</v>
      </c>
    </row>
    <row r="10" customFormat="false" ht="15" hidden="false" customHeight="true" outlineLevel="0" collapsed="false">
      <c r="A10" s="52"/>
      <c r="B10" s="52"/>
      <c r="C10" s="52"/>
      <c r="D10" s="52"/>
      <c r="E10" s="52"/>
      <c r="F10" s="52"/>
      <c r="G10" s="52"/>
      <c r="H10" s="52"/>
      <c r="I10" s="52"/>
      <c r="J10" s="52"/>
    </row>
    <row r="11" customFormat="false" ht="15" hidden="false" customHeight="true" outlineLevel="0" collapsed="false">
      <c r="A11" s="52"/>
      <c r="B11" s="52"/>
      <c r="C11" s="52"/>
      <c r="D11" s="52"/>
      <c r="E11" s="52"/>
      <c r="F11" s="52"/>
      <c r="G11" s="52"/>
      <c r="H11" s="52"/>
      <c r="I11" s="52"/>
      <c r="J11" s="52"/>
    </row>
    <row r="12" customFormat="false" ht="15" hidden="false" customHeight="true" outlineLevel="0" collapsed="false">
      <c r="A12" s="52"/>
      <c r="B12" s="52"/>
      <c r="C12" s="52"/>
      <c r="D12" s="52"/>
      <c r="E12" s="52"/>
      <c r="F12" s="52"/>
      <c r="G12" s="52"/>
      <c r="H12" s="52"/>
      <c r="I12" s="52"/>
      <c r="J12" s="52"/>
    </row>
    <row r="13" customFormat="false" ht="15" hidden="false" customHeight="true" outlineLevel="0" collapsed="false">
      <c r="A13" s="52"/>
      <c r="B13" s="52"/>
      <c r="C13" s="52"/>
      <c r="D13" s="52"/>
      <c r="E13" s="52"/>
      <c r="F13" s="52"/>
      <c r="G13" s="52"/>
      <c r="H13" s="52"/>
      <c r="I13" s="52"/>
      <c r="J13" s="52"/>
    </row>
    <row r="14" customFormat="false" ht="15" hidden="false" customHeight="true" outlineLevel="0" collapsed="false">
      <c r="A14" s="52"/>
      <c r="B14" s="52"/>
      <c r="C14" s="52"/>
      <c r="D14" s="52"/>
      <c r="E14" s="52"/>
      <c r="F14" s="52"/>
      <c r="G14" s="52"/>
      <c r="H14" s="52"/>
      <c r="I14" s="52"/>
      <c r="J14" s="52"/>
    </row>
    <row r="15" customFormat="false" ht="15" hidden="false" customHeight="true" outlineLevel="0" collapsed="false">
      <c r="A15" s="52"/>
      <c r="B15" s="52"/>
      <c r="C15" s="52"/>
      <c r="D15" s="52"/>
      <c r="E15" s="52"/>
      <c r="F15" s="52"/>
      <c r="G15" s="52"/>
      <c r="H15" s="52"/>
      <c r="I15" s="52"/>
      <c r="J15" s="52"/>
    </row>
    <row r="16" customFormat="false" ht="15" hidden="false" customHeight="true" outlineLevel="0" collapsed="false">
      <c r="A16" s="52"/>
      <c r="B16" s="52"/>
      <c r="C16" s="52"/>
      <c r="D16" s="52"/>
      <c r="E16" s="52"/>
      <c r="F16" s="52"/>
      <c r="G16" s="52"/>
      <c r="H16" s="52"/>
      <c r="I16" s="52"/>
      <c r="J16" s="52"/>
    </row>
    <row r="17" customFormat="false" ht="15" hidden="false" customHeight="true" outlineLevel="0" collapsed="false">
      <c r="A17" s="52"/>
      <c r="B17" s="52"/>
      <c r="C17" s="52"/>
      <c r="D17" s="52"/>
      <c r="E17" s="52"/>
      <c r="F17" s="52"/>
      <c r="G17" s="52"/>
      <c r="H17" s="52"/>
      <c r="I17" s="52"/>
      <c r="J17" s="52"/>
    </row>
    <row r="18" customFormat="false" ht="15" hidden="false" customHeight="true" outlineLevel="0" collapsed="false">
      <c r="A18" s="52"/>
      <c r="B18" s="52"/>
      <c r="C18" s="52"/>
      <c r="D18" s="52"/>
      <c r="E18" s="52"/>
      <c r="F18" s="52"/>
      <c r="G18" s="52"/>
      <c r="H18" s="52"/>
      <c r="I18" s="52"/>
      <c r="J18" s="52"/>
    </row>
    <row r="19" customFormat="false" ht="15" hidden="false" customHeight="true" outlineLevel="0" collapsed="false">
      <c r="A19" s="52"/>
      <c r="B19" s="52"/>
      <c r="C19" s="52"/>
      <c r="D19" s="52"/>
      <c r="E19" s="52"/>
      <c r="F19" s="52"/>
      <c r="G19" s="52"/>
      <c r="H19" s="52"/>
      <c r="I19" s="52"/>
      <c r="J19" s="52"/>
    </row>
    <row r="20" customFormat="false" ht="15" hidden="false" customHeight="true" outlineLevel="0" collapsed="false">
      <c r="A20" s="52"/>
      <c r="B20" s="52"/>
      <c r="C20" s="52"/>
      <c r="D20" s="52"/>
      <c r="E20" s="52"/>
      <c r="F20" s="52"/>
      <c r="G20" s="52"/>
      <c r="H20" s="52"/>
      <c r="I20" s="52"/>
      <c r="J20" s="52"/>
    </row>
  </sheetData>
  <mergeCells count="2">
    <mergeCell ref="A1:J1"/>
    <mergeCell ref="L2:M2"/>
  </mergeCells>
  <conditionalFormatting sqref="J3:J5">
    <cfRule type="cellIs" priority="2" operator="equal" aboveAverage="0" equalAverage="0" bottom="0" percent="0" rank="0" text="" dxfId="18">
      <formula>"Open"</formula>
    </cfRule>
    <cfRule type="cellIs" priority="3" operator="equal" aboveAverage="0" equalAverage="0" bottom="0" percent="0" rank="0" text="" dxfId="21">
      <formula>"In Progress"</formula>
    </cfRule>
    <cfRule type="cellIs" priority="4" operator="equal" aboveAverage="0" equalAverage="0" bottom="0" percent="0" rank="0" text="" dxfId="17">
      <formula>"Closed"</formula>
    </cfRule>
  </conditionalFormatting>
  <dataValidations count="1">
    <dataValidation allowBlank="true" errorStyle="stop" operator="between" showDropDown="false" showErrorMessage="false" showInputMessage="false" sqref="J3:J20"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34"/>
    <col collapsed="false" customWidth="true" hidden="false" outlineLevel="0" max="4" min="4" style="1" width="26"/>
    <col collapsed="false" customWidth="true" hidden="false" outlineLevel="0" max="6" min="5" style="1" width="14"/>
    <col collapsed="false" customWidth="true" hidden="false" outlineLevel="0" max="7" min="7" style="1" width="18"/>
  </cols>
  <sheetData>
    <row r="1" customFormat="false" ht="24" hidden="false" customHeight="true" outlineLevel="0" collapsed="false">
      <c r="A1" s="60" t="s">
        <v>2037</v>
      </c>
      <c r="B1" s="60"/>
      <c r="C1" s="60"/>
      <c r="D1" s="60"/>
      <c r="E1" s="60"/>
      <c r="F1" s="60"/>
      <c r="G1" s="60"/>
    </row>
    <row r="2" customFormat="false" ht="30" hidden="false" customHeight="true" outlineLevel="0" collapsed="false">
      <c r="A2" s="61" t="s">
        <v>2038</v>
      </c>
      <c r="B2" s="61" t="s">
        <v>132</v>
      </c>
      <c r="C2" s="61" t="s">
        <v>2039</v>
      </c>
      <c r="D2" s="61" t="s">
        <v>2040</v>
      </c>
      <c r="E2" s="61" t="s">
        <v>2041</v>
      </c>
      <c r="F2" s="61" t="s">
        <v>1672</v>
      </c>
      <c r="G2" s="61" t="s">
        <v>209</v>
      </c>
    </row>
    <row r="3" customFormat="false" ht="15" hidden="false" customHeight="true" outlineLevel="0" collapsed="false">
      <c r="A3" s="66" t="s">
        <v>2042</v>
      </c>
      <c r="B3" s="8" t="s">
        <v>2043</v>
      </c>
      <c r="C3" s="8" t="s">
        <v>2044</v>
      </c>
      <c r="D3" s="8" t="s">
        <v>2045</v>
      </c>
      <c r="E3" s="66" t="s">
        <v>2046</v>
      </c>
      <c r="F3" s="66" t="s">
        <v>2047</v>
      </c>
      <c r="G3" s="66" t="s">
        <v>221</v>
      </c>
    </row>
    <row r="4" customFormat="false" ht="23.25" hidden="false" customHeight="true" outlineLevel="0" collapsed="false">
      <c r="A4" s="66" t="s">
        <v>2048</v>
      </c>
      <c r="B4" s="8" t="s">
        <v>2049</v>
      </c>
      <c r="C4" s="8" t="s">
        <v>2050</v>
      </c>
      <c r="D4" s="8" t="s">
        <v>2051</v>
      </c>
      <c r="E4" s="66" t="s">
        <v>2046</v>
      </c>
      <c r="F4" s="66" t="s">
        <v>63</v>
      </c>
      <c r="G4" s="66" t="s">
        <v>389</v>
      </c>
    </row>
    <row r="5" customFormat="false" ht="15" hidden="false" customHeight="true" outlineLevel="0" collapsed="false">
      <c r="A5" s="66" t="s">
        <v>2052</v>
      </c>
      <c r="B5" s="8" t="s">
        <v>2053</v>
      </c>
      <c r="C5" s="8" t="s">
        <v>2054</v>
      </c>
      <c r="D5" s="8" t="s">
        <v>2055</v>
      </c>
      <c r="E5" s="66" t="s">
        <v>2056</v>
      </c>
      <c r="F5" s="66" t="s">
        <v>2057</v>
      </c>
      <c r="G5" s="66" t="s">
        <v>221</v>
      </c>
    </row>
    <row r="6" customFormat="false" ht="15" hidden="false" customHeight="true" outlineLevel="0" collapsed="false">
      <c r="A6" s="66" t="s">
        <v>2058</v>
      </c>
      <c r="B6" s="8" t="s">
        <v>2059</v>
      </c>
      <c r="C6" s="8" t="s">
        <v>2060</v>
      </c>
      <c r="D6" s="8" t="s">
        <v>2061</v>
      </c>
      <c r="E6" s="66" t="s">
        <v>2062</v>
      </c>
      <c r="F6" s="66" t="s">
        <v>2047</v>
      </c>
      <c r="G6" s="66" t="s">
        <v>221</v>
      </c>
    </row>
    <row r="7" customFormat="false" ht="15" hidden="false" customHeight="true" outlineLevel="0" collapsed="false">
      <c r="A7" s="66" t="s">
        <v>2063</v>
      </c>
      <c r="B7" s="8" t="s">
        <v>2064</v>
      </c>
      <c r="C7" s="8" t="s">
        <v>2065</v>
      </c>
      <c r="D7" s="8" t="s">
        <v>2066</v>
      </c>
      <c r="E7" s="66" t="s">
        <v>2067</v>
      </c>
      <c r="F7" s="66" t="s">
        <v>1761</v>
      </c>
      <c r="G7" s="66" t="s">
        <v>249</v>
      </c>
    </row>
    <row r="8" customFormat="false" ht="15" hidden="false" customHeight="true" outlineLevel="0" collapsed="false">
      <c r="A8" s="66" t="s">
        <v>2068</v>
      </c>
      <c r="B8" s="8" t="s">
        <v>2069</v>
      </c>
      <c r="C8" s="8" t="s">
        <v>2070</v>
      </c>
      <c r="D8" s="8" t="s">
        <v>2071</v>
      </c>
      <c r="E8" s="66" t="s">
        <v>2067</v>
      </c>
      <c r="F8" s="66" t="s">
        <v>2047</v>
      </c>
      <c r="G8" s="66" t="s">
        <v>266</v>
      </c>
    </row>
    <row r="9" customFormat="false" ht="15" hidden="false" customHeight="true" outlineLevel="0" collapsed="false">
      <c r="A9" s="66" t="s">
        <v>2072</v>
      </c>
      <c r="B9" s="8" t="s">
        <v>2073</v>
      </c>
      <c r="C9" s="8" t="s">
        <v>2074</v>
      </c>
      <c r="D9" s="8" t="s">
        <v>2075</v>
      </c>
      <c r="E9" s="66" t="s">
        <v>2076</v>
      </c>
      <c r="F9" s="66" t="s">
        <v>2047</v>
      </c>
      <c r="G9" s="66" t="s">
        <v>2077</v>
      </c>
    </row>
    <row r="10" customFormat="false" ht="15" hidden="false" customHeight="true" outlineLevel="0" collapsed="false">
      <c r="A10" s="66" t="s">
        <v>2078</v>
      </c>
      <c r="B10" s="8" t="s">
        <v>2079</v>
      </c>
      <c r="C10" s="8" t="s">
        <v>2080</v>
      </c>
      <c r="D10" s="8" t="s">
        <v>2081</v>
      </c>
      <c r="E10" s="66" t="s">
        <v>2082</v>
      </c>
      <c r="F10" s="66" t="s">
        <v>63</v>
      </c>
      <c r="G10" s="66" t="s">
        <v>1703</v>
      </c>
    </row>
    <row r="11" customFormat="false" ht="15" hidden="false" customHeight="true" outlineLevel="0" collapsed="false">
      <c r="A11" s="66" t="s">
        <v>2083</v>
      </c>
      <c r="B11" s="8" t="s">
        <v>2084</v>
      </c>
      <c r="C11" s="8" t="s">
        <v>2085</v>
      </c>
      <c r="D11" s="8" t="s">
        <v>126</v>
      </c>
      <c r="E11" s="66" t="s">
        <v>2067</v>
      </c>
      <c r="F11" s="66" t="s">
        <v>2047</v>
      </c>
      <c r="G11" s="66" t="s">
        <v>221</v>
      </c>
    </row>
    <row r="12" customFormat="false" ht="15" hidden="false" customHeight="true" outlineLevel="0" collapsed="false">
      <c r="A12" s="66" t="s">
        <v>2086</v>
      </c>
      <c r="B12" s="8" t="s">
        <v>2087</v>
      </c>
      <c r="C12" s="8" t="s">
        <v>2088</v>
      </c>
      <c r="D12" s="8" t="s">
        <v>2089</v>
      </c>
      <c r="E12" s="66" t="s">
        <v>2082</v>
      </c>
      <c r="F12" s="66" t="s">
        <v>63</v>
      </c>
      <c r="G12" s="66" t="s">
        <v>1697</v>
      </c>
    </row>
    <row r="13" customFormat="false" ht="15" hidden="false" customHeight="true" outlineLevel="0" collapsed="false">
      <c r="A13" s="66" t="s">
        <v>2090</v>
      </c>
      <c r="B13" s="8" t="s">
        <v>2091</v>
      </c>
      <c r="C13" s="8" t="s">
        <v>2092</v>
      </c>
      <c r="D13" s="8" t="s">
        <v>126</v>
      </c>
      <c r="E13" s="66" t="s">
        <v>2093</v>
      </c>
      <c r="F13" s="66" t="s">
        <v>2047</v>
      </c>
      <c r="G13" s="66" t="s">
        <v>1815</v>
      </c>
    </row>
    <row r="14" customFormat="false" ht="15" hidden="false" customHeight="true" outlineLevel="0" collapsed="false">
      <c r="A14" s="66" t="s">
        <v>2094</v>
      </c>
      <c r="B14" s="8" t="s">
        <v>2095</v>
      </c>
      <c r="C14" s="8" t="s">
        <v>2096</v>
      </c>
      <c r="D14" s="8" t="s">
        <v>2097</v>
      </c>
      <c r="E14" s="66" t="s">
        <v>2046</v>
      </c>
      <c r="F14" s="66" t="s">
        <v>63</v>
      </c>
      <c r="G14" s="66" t="s">
        <v>1597</v>
      </c>
    </row>
    <row r="15" customFormat="false" ht="15" hidden="false" customHeight="true" outlineLevel="0" collapsed="false">
      <c r="A15" s="52"/>
      <c r="B15" s="52"/>
      <c r="C15" s="52"/>
      <c r="D15" s="52"/>
      <c r="E15" s="52"/>
      <c r="F15" s="52"/>
      <c r="G15" s="52"/>
    </row>
    <row r="16" customFormat="false" ht="15" hidden="false" customHeight="true" outlineLevel="0" collapsed="false">
      <c r="A16" s="52"/>
      <c r="B16" s="52"/>
      <c r="C16" s="52"/>
      <c r="D16" s="52"/>
      <c r="E16" s="52"/>
      <c r="F16" s="52"/>
      <c r="G16" s="52"/>
    </row>
    <row r="17" customFormat="false" ht="15" hidden="false" customHeight="true" outlineLevel="0" collapsed="false">
      <c r="A17" s="52"/>
      <c r="B17" s="52"/>
      <c r="C17" s="52"/>
      <c r="D17" s="52"/>
      <c r="E17" s="52"/>
      <c r="F17" s="52"/>
      <c r="G17" s="52"/>
    </row>
    <row r="18" customFormat="false" ht="15" hidden="false" customHeight="true" outlineLevel="0" collapsed="false">
      <c r="A18" s="52"/>
      <c r="B18" s="52"/>
      <c r="C18" s="52"/>
      <c r="D18" s="52"/>
      <c r="E18" s="52"/>
      <c r="F18" s="52"/>
      <c r="G18" s="52"/>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8"/>
    <col collapsed="false" customWidth="true" hidden="false" outlineLevel="0" max="4" min="4" style="1" width="10"/>
    <col collapsed="false" customWidth="true" hidden="false" outlineLevel="0" max="5" min="5" style="1" width="44"/>
    <col collapsed="false" customWidth="true" hidden="false" outlineLevel="0" max="6" min="6" style="1" width="20"/>
  </cols>
  <sheetData>
    <row r="1" customFormat="false" ht="24" hidden="false" customHeight="true" outlineLevel="0" collapsed="false">
      <c r="A1" s="60" t="s">
        <v>2098</v>
      </c>
      <c r="B1" s="60"/>
      <c r="C1" s="60"/>
      <c r="D1" s="60"/>
      <c r="E1" s="60"/>
    </row>
    <row r="2" customFormat="false" ht="30" hidden="false" customHeight="true" outlineLevel="0" collapsed="false">
      <c r="A2" s="61" t="s">
        <v>111</v>
      </c>
      <c r="B2" s="61" t="s">
        <v>2099</v>
      </c>
      <c r="C2" s="61" t="s">
        <v>2100</v>
      </c>
      <c r="D2" s="61" t="s">
        <v>2101</v>
      </c>
      <c r="E2" s="61" t="s">
        <v>2102</v>
      </c>
      <c r="F2" s="61" t="s">
        <v>2103</v>
      </c>
    </row>
    <row r="3" customFormat="false" ht="15" hidden="false" customHeight="true" outlineLevel="0" collapsed="false">
      <c r="A3" s="8" t="s">
        <v>1601</v>
      </c>
      <c r="B3" s="66" t="n">
        <v>2</v>
      </c>
      <c r="C3" s="66" t="n">
        <v>4</v>
      </c>
      <c r="D3" s="84" t="n">
        <f aca="false">IF(AND(ISNUMBER(B3),ISNUMBER(C3)),C3-B3,"")</f>
        <v>2</v>
      </c>
      <c r="E3" s="8"/>
      <c r="F3" s="85" t="n">
        <f aca="false">IFERROR(1+4*((COUNTIF('Program Management'!D3:D120,"Yes")+0.5*COUNTIF('Program Management'!D3:D120,"Partial"))/(COUNTA('Program Management'!D3:D120)-COUNTIF('Program Management'!D3:D120,"N/A"))),1)</f>
        <v>1</v>
      </c>
    </row>
    <row r="4" customFormat="false" ht="15" hidden="false" customHeight="true" outlineLevel="0" collapsed="false">
      <c r="A4" s="8" t="s">
        <v>2104</v>
      </c>
      <c r="B4" s="66" t="n">
        <v>3</v>
      </c>
      <c r="C4" s="66" t="n">
        <v>4</v>
      </c>
      <c r="D4" s="84" t="n">
        <f aca="false">IF(AND(ISNUMBER(B4),ISNUMBER(C4)),C4-B4,"")</f>
        <v>1</v>
      </c>
      <c r="E4" s="8"/>
      <c r="F4" s="86" t="s">
        <v>2105</v>
      </c>
    </row>
    <row r="5" customFormat="false" ht="15" hidden="false" customHeight="true" outlineLevel="0" collapsed="false">
      <c r="A5" s="8" t="s">
        <v>173</v>
      </c>
      <c r="B5" s="66" t="n">
        <v>2</v>
      </c>
      <c r="C5" s="66" t="n">
        <v>4</v>
      </c>
      <c r="D5" s="84" t="n">
        <f aca="false">IF(AND(ISNUMBER(B5),ISNUMBER(C5)),C5-B5,"")</f>
        <v>2</v>
      </c>
      <c r="E5" s="8"/>
      <c r="F5" s="85" t="n">
        <f aca="false">IFERROR(1+4*((COUNTIF('Data Governance'!D3:D120,"Yes")+0.5*COUNTIF('Data Governance'!D3:D120,"Partial"))/(COUNTA('Data Governance'!D3:D120)-COUNTIF('Data Governance'!D3:D120,"N/A"))),1)</f>
        <v>1</v>
      </c>
    </row>
    <row r="6" customFormat="false" ht="15" hidden="false" customHeight="true" outlineLevel="0" collapsed="false">
      <c r="A6" s="8" t="s">
        <v>174</v>
      </c>
      <c r="B6" s="66" t="n">
        <v>3</v>
      </c>
      <c r="C6" s="66" t="n">
        <v>5</v>
      </c>
      <c r="D6" s="84" t="n">
        <f aca="false">IF(AND(ISNUMBER(B6),ISNUMBER(C6)),C6-B6,"")</f>
        <v>2</v>
      </c>
      <c r="E6" s="8"/>
      <c r="F6" s="85" t="n">
        <f aca="false">IFERROR(1+4*((COUNTIF('Model Governance'!D3:D120,"Yes")+0.5*COUNTIF('Model Governance'!D3:D120,"Partial"))/(COUNTA('Model Governance'!D3:D120)-COUNTIF('Model Governance'!D3:D120,"N/A"))),1)</f>
        <v>1</v>
      </c>
    </row>
    <row r="7" customFormat="false" ht="15" hidden="false" customHeight="true" outlineLevel="0" collapsed="false">
      <c r="A7" s="8" t="s">
        <v>1288</v>
      </c>
      <c r="B7" s="66" t="n">
        <v>3</v>
      </c>
      <c r="C7" s="66" t="n">
        <v>4</v>
      </c>
      <c r="D7" s="84" t="n">
        <f aca="false">IF(AND(ISNUMBER(B7),ISNUMBER(C7)),C7-B7,"")</f>
        <v>1</v>
      </c>
      <c r="E7" s="8"/>
      <c r="F7" s="85" t="n">
        <f aca="false">IFERROR(1+4*((COUNTIF('Guardrails - Technical'!D3:D120,"Yes")+0.5*COUNTIF('Guardrails - Technical'!D3:D120,"Partial"))/(COUNTA('Guardrails - Technical'!D3:D120)-COUNTIF('Guardrails - Technical'!D3:D120,"N/A"))),1)</f>
        <v>1</v>
      </c>
    </row>
    <row r="8" customFormat="false" ht="15" hidden="false" customHeight="true" outlineLevel="0" collapsed="false">
      <c r="A8" s="8" t="s">
        <v>170</v>
      </c>
      <c r="B8" s="66" t="n">
        <v>2</v>
      </c>
      <c r="C8" s="66" t="n">
        <v>4</v>
      </c>
      <c r="D8" s="84" t="n">
        <f aca="false">IF(AND(ISNUMBER(B8),ISNUMBER(C8)),C8-B8,"")</f>
        <v>2</v>
      </c>
      <c r="E8" s="8"/>
      <c r="F8" s="85" t="n">
        <f aca="false">IFERROR(1+4*((COUNTIF('Responsible AI'!D3:D120,"Yes")+0.5*COUNTIF('Responsible AI'!D3:D120,"Partial"))/(COUNTA('Responsible AI'!D3:D120)-COUNTIF('Responsible AI'!D3:D120,"N/A"))),1)</f>
        <v>1</v>
      </c>
    </row>
    <row r="9" customFormat="false" ht="15" hidden="false" customHeight="true" outlineLevel="0" collapsed="false">
      <c r="A9" s="8" t="s">
        <v>271</v>
      </c>
      <c r="B9" s="66" t="n">
        <v>3</v>
      </c>
      <c r="C9" s="66" t="n">
        <v>4</v>
      </c>
      <c r="D9" s="84" t="n">
        <f aca="false">IF(AND(ISNUMBER(B9),ISNUMBER(C9)),C9-B9,"")</f>
        <v>1</v>
      </c>
      <c r="E9" s="8"/>
      <c r="F9" s="85" t="n">
        <f aca="false">IFERROR(1+4*((COUNTIF('Model Governance'!D3:D120,"Yes")+0.5*COUNTIF('Model Governance'!D3:D120,"Partial"))/(COUNTA('Model Governance'!D3:D120)-COUNTIF('Model Governance'!D3:D120,"N/A"))),1)</f>
        <v>1</v>
      </c>
    </row>
    <row r="10" customFormat="false" ht="15" hidden="false" customHeight="true" outlineLevel="0" collapsed="false">
      <c r="A10" s="8" t="s">
        <v>176</v>
      </c>
      <c r="B10" s="66" t="n">
        <v>3</v>
      </c>
      <c r="C10" s="66" t="n">
        <v>4</v>
      </c>
      <c r="D10" s="84" t="n">
        <f aca="false">IF(AND(ISNUMBER(B10),ISNUMBER(C10)),C10-B10,"")</f>
        <v>1</v>
      </c>
      <c r="E10" s="8"/>
      <c r="F10" s="85" t="n">
        <f aca="false">IFERROR(1+4*((COUNTIF('Program Management'!D3:D120,"Yes")+0.5*COUNTIF('Program Management'!D3:D120,"Partial"))/(COUNTA('Program Management'!D3:D120)-COUNTIF('Program Management'!D3:D120,"N/A"))),1)</f>
        <v>1</v>
      </c>
    </row>
    <row r="11" customFormat="false" ht="15" hidden="false" customHeight="true" outlineLevel="0" collapsed="false">
      <c r="A11" s="8" t="s">
        <v>2106</v>
      </c>
      <c r="B11" s="66" t="n">
        <v>2</v>
      </c>
      <c r="C11" s="66" t="n">
        <v>4</v>
      </c>
      <c r="D11" s="84" t="n">
        <f aca="false">IF(AND(ISNUMBER(B11),ISNUMBER(C11)),C11-B11,"")</f>
        <v>2</v>
      </c>
      <c r="E11" s="8"/>
      <c r="F11" s="86" t="s">
        <v>2105</v>
      </c>
    </row>
    <row r="12" customFormat="false" ht="15" hidden="false" customHeight="true" outlineLevel="0" collapsed="false">
      <c r="A12" s="8" t="s">
        <v>461</v>
      </c>
      <c r="B12" s="66" t="n">
        <v>2</v>
      </c>
      <c r="C12" s="66" t="n">
        <v>4</v>
      </c>
      <c r="D12" s="84" t="n">
        <f aca="false">IF(AND(ISNUMBER(B12),ISNUMBER(C12)),C12-B12,"")</f>
        <v>2</v>
      </c>
      <c r="E12" s="8"/>
      <c r="F12" s="85" t="n">
        <f aca="false">IFERROR(1+4*((COUNTIF('GenAI Controls'!D3:D120,"Yes")+0.5*COUNTIF('GenAI Controls'!D3:D120,"Partial"))/(COUNTA('GenAI Controls'!D3:D120)-COUNTIF('GenAI Controls'!D3:D120,"N/A"))),1)</f>
        <v>1</v>
      </c>
    </row>
    <row r="14" customFormat="false" ht="15" hidden="false" customHeight="true" outlineLevel="0" collapsed="false">
      <c r="A14" s="58" t="s">
        <v>2107</v>
      </c>
      <c r="B14" s="58"/>
      <c r="C14" s="58"/>
      <c r="D14" s="58"/>
      <c r="E14" s="58"/>
    </row>
    <row r="16" customFormat="false" ht="19.5" hidden="false" customHeight="true" outlineLevel="0" collapsed="false">
      <c r="A16" s="87" t="s">
        <v>2108</v>
      </c>
      <c r="B16" s="87"/>
      <c r="C16" s="87"/>
      <c r="D16" s="88" t="n">
        <f aca="false">IFERROR(AVERAGE(B3:B12),0)</f>
        <v>2.5</v>
      </c>
      <c r="E16" s="89" t="s">
        <v>2109</v>
      </c>
    </row>
    <row r="17" customFormat="false" ht="15" hidden="false" customHeight="true" outlineLevel="0" collapsed="false">
      <c r="A17" s="90" t="s">
        <v>2110</v>
      </c>
      <c r="B17" s="90"/>
      <c r="C17" s="90"/>
      <c r="D17" s="91" t="n">
        <f aca="false">IFERROR(AVERAGE(F3,F5,F6,F7,F8,F9,F10,F12),0)</f>
        <v>1</v>
      </c>
    </row>
  </sheetData>
  <mergeCells count="4">
    <mergeCell ref="A1:E1"/>
    <mergeCell ref="A14:E14"/>
    <mergeCell ref="A16:C16"/>
    <mergeCell ref="A17:C17"/>
  </mergeCells>
  <conditionalFormatting sqref="B3:C14">
    <cfRule type="colorScale" priority="2">
      <colorScale>
        <cfvo type="num" val="1"/>
        <cfvo type="num" val="3"/>
        <cfvo type="num" val="5"/>
        <color rgb="FFC0392B"/>
        <color rgb="FFF1C40F"/>
        <color rgb="FF58D68D"/>
      </colorScale>
    </cfRule>
  </conditionalFormatting>
  <conditionalFormatting sqref="D3:D14">
    <cfRule type="colorScale" priority="3">
      <colorScale>
        <cfvo type="num" val="0"/>
        <cfvo type="num" val="2"/>
        <cfvo type="num" val="4"/>
        <color rgb="FF58D68D"/>
        <color rgb="FFF1C40F"/>
        <color rgb="FFC0392B"/>
      </colorScale>
    </cfRule>
  </conditionalFormatting>
  <dataValidations count="2">
    <dataValidation allowBlank="true" errorStyle="stop" operator="between" showDropDown="false" showErrorMessage="false" showInputMessage="false" sqref="B3:B12" type="list">
      <formula1>"1,2,3,4,5"</formula1>
      <formula2>0</formula2>
    </dataValidation>
    <dataValidation allowBlank="true" errorStyle="stop" operator="between" showDropDown="false" showErrorMessage="false" showInputMessage="false" sqref="C3:C12"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2111</v>
      </c>
      <c r="B1" s="60"/>
      <c r="C1" s="60"/>
      <c r="D1" s="60"/>
      <c r="E1" s="60"/>
      <c r="F1" s="60"/>
      <c r="G1" s="60"/>
      <c r="I1" s="70" t="s">
        <v>1272</v>
      </c>
      <c r="J1" s="71" t="n">
        <f aca="false">IFERROR((COUNTIF(D3:D17,"Yes")+0.5*COUNTIF(D3:D17,"Partial"))/(COUNTA(D3:D17)-COUNTIF(D3:D17,"N/A")),0)</f>
        <v>0</v>
      </c>
    </row>
    <row r="2" customFormat="false" ht="25.5" hidden="false" customHeight="true" outlineLevel="0" collapsed="false">
      <c r="A2" s="61" t="s">
        <v>88</v>
      </c>
      <c r="B2" s="61" t="s">
        <v>2112</v>
      </c>
      <c r="C2" s="61" t="s">
        <v>957</v>
      </c>
      <c r="D2" s="61" t="s">
        <v>960</v>
      </c>
      <c r="E2" s="61" t="s">
        <v>961</v>
      </c>
      <c r="F2" s="61" t="s">
        <v>209</v>
      </c>
      <c r="G2" s="61" t="s">
        <v>1275</v>
      </c>
    </row>
    <row r="3" customFormat="false" ht="23.25" hidden="false" customHeight="true" outlineLevel="0" collapsed="false">
      <c r="A3" s="66" t="n">
        <v>1</v>
      </c>
      <c r="B3" s="8" t="s">
        <v>2113</v>
      </c>
      <c r="C3" s="8" t="s">
        <v>2114</v>
      </c>
      <c r="D3" s="66"/>
      <c r="E3" s="8"/>
      <c r="F3" s="66"/>
      <c r="G3" s="8"/>
    </row>
    <row r="4" customFormat="false" ht="23.25" hidden="false" customHeight="true" outlineLevel="0" collapsed="false">
      <c r="A4" s="66" t="n">
        <v>2</v>
      </c>
      <c r="B4" s="8" t="s">
        <v>2115</v>
      </c>
      <c r="C4" s="8" t="s">
        <v>2116</v>
      </c>
      <c r="D4" s="66"/>
      <c r="E4" s="8"/>
      <c r="F4" s="66"/>
      <c r="G4" s="8"/>
    </row>
    <row r="5" customFormat="false" ht="23.25" hidden="false" customHeight="true" outlineLevel="0" collapsed="false">
      <c r="A5" s="66" t="n">
        <v>3</v>
      </c>
      <c r="B5" s="8" t="s">
        <v>1279</v>
      </c>
      <c r="C5" s="8" t="s">
        <v>2117</v>
      </c>
      <c r="D5" s="66"/>
      <c r="E5" s="8"/>
      <c r="F5" s="66"/>
      <c r="G5" s="8"/>
    </row>
    <row r="6" customFormat="false" ht="23.25" hidden="false" customHeight="true" outlineLevel="0" collapsed="false">
      <c r="A6" s="66" t="n">
        <v>4</v>
      </c>
      <c r="B6" s="8" t="s">
        <v>2118</v>
      </c>
      <c r="C6" s="8" t="s">
        <v>2119</v>
      </c>
      <c r="D6" s="66"/>
      <c r="E6" s="8"/>
      <c r="F6" s="66"/>
      <c r="G6" s="8"/>
    </row>
    <row r="7" customFormat="false" ht="23.25" hidden="false" customHeight="true" outlineLevel="0" collapsed="false">
      <c r="A7" s="66" t="n">
        <v>5</v>
      </c>
      <c r="B7" s="8" t="s">
        <v>1775</v>
      </c>
      <c r="C7" s="8" t="s">
        <v>2120</v>
      </c>
      <c r="D7" s="66"/>
      <c r="E7" s="8"/>
      <c r="F7" s="66"/>
      <c r="G7" s="8"/>
    </row>
    <row r="8" customFormat="false" ht="23.25" hidden="false" customHeight="true" outlineLevel="0" collapsed="false">
      <c r="A8" s="66" t="n">
        <v>6</v>
      </c>
      <c r="B8" s="8" t="s">
        <v>1780</v>
      </c>
      <c r="C8" s="8" t="s">
        <v>2121</v>
      </c>
      <c r="D8" s="66"/>
      <c r="E8" s="8"/>
      <c r="F8" s="66"/>
      <c r="G8" s="8"/>
    </row>
    <row r="9" customFormat="false" ht="23.25" hidden="false" customHeight="true" outlineLevel="0" collapsed="false">
      <c r="A9" s="66" t="n">
        <v>7</v>
      </c>
      <c r="B9" s="8" t="s">
        <v>2122</v>
      </c>
      <c r="C9" s="8" t="s">
        <v>2123</v>
      </c>
      <c r="D9" s="66"/>
      <c r="E9" s="8"/>
      <c r="F9" s="66"/>
      <c r="G9" s="8"/>
    </row>
    <row r="10" customFormat="false" ht="23.25" hidden="false" customHeight="true" outlineLevel="0" collapsed="false">
      <c r="A10" s="66" t="n">
        <v>8</v>
      </c>
      <c r="B10" s="8" t="s">
        <v>2124</v>
      </c>
      <c r="C10" s="8" t="s">
        <v>2125</v>
      </c>
      <c r="D10" s="66"/>
      <c r="E10" s="8"/>
      <c r="F10" s="66"/>
      <c r="G10" s="8"/>
    </row>
    <row r="11" customFormat="false" ht="23.25" hidden="false" customHeight="true" outlineLevel="0" collapsed="false">
      <c r="A11" s="66" t="n">
        <v>9</v>
      </c>
      <c r="B11" s="8" t="s">
        <v>2126</v>
      </c>
      <c r="C11" s="8" t="s">
        <v>2127</v>
      </c>
      <c r="D11" s="66"/>
      <c r="E11" s="8"/>
      <c r="F11" s="66"/>
      <c r="G11" s="8"/>
    </row>
    <row r="12" customFormat="false" ht="23.25" hidden="false" customHeight="true" outlineLevel="0" collapsed="false">
      <c r="A12" s="66" t="n">
        <v>10</v>
      </c>
      <c r="B12" s="8" t="s">
        <v>1793</v>
      </c>
      <c r="C12" s="8" t="s">
        <v>2128</v>
      </c>
      <c r="D12" s="66"/>
      <c r="E12" s="8"/>
      <c r="F12" s="66"/>
      <c r="G12" s="8"/>
    </row>
    <row r="13" customFormat="false" ht="23.25" hidden="false" customHeight="true" outlineLevel="0" collapsed="false">
      <c r="A13" s="66" t="n">
        <v>11</v>
      </c>
      <c r="B13" s="8" t="s">
        <v>1288</v>
      </c>
      <c r="C13" s="8" t="s">
        <v>2129</v>
      </c>
      <c r="D13" s="66"/>
      <c r="E13" s="8"/>
      <c r="F13" s="66"/>
      <c r="G13" s="8"/>
    </row>
    <row r="14" customFormat="false" ht="23.25" hidden="false" customHeight="true" outlineLevel="0" collapsed="false">
      <c r="A14" s="66" t="n">
        <v>12</v>
      </c>
      <c r="B14" s="8" t="s">
        <v>2130</v>
      </c>
      <c r="C14" s="8" t="s">
        <v>2131</v>
      </c>
      <c r="D14" s="66"/>
      <c r="E14" s="8"/>
      <c r="F14" s="66"/>
      <c r="G14" s="8"/>
    </row>
    <row r="15" customFormat="false" ht="23.25" hidden="false" customHeight="true" outlineLevel="0" collapsed="false">
      <c r="A15" s="66" t="n">
        <v>13</v>
      </c>
      <c r="B15" s="8" t="s">
        <v>2132</v>
      </c>
      <c r="C15" s="8" t="s">
        <v>2133</v>
      </c>
      <c r="D15" s="66"/>
      <c r="E15" s="8"/>
      <c r="F15" s="66"/>
      <c r="G15" s="8"/>
    </row>
    <row r="16" customFormat="false" ht="23.25" hidden="false" customHeight="true" outlineLevel="0" collapsed="false">
      <c r="A16" s="66" t="n">
        <v>14</v>
      </c>
      <c r="B16" s="8" t="s">
        <v>2134</v>
      </c>
      <c r="C16" s="8" t="s">
        <v>2135</v>
      </c>
      <c r="D16" s="66"/>
      <c r="E16" s="8"/>
      <c r="F16" s="66"/>
      <c r="G16" s="8"/>
    </row>
    <row r="17" customFormat="false" ht="23.25" hidden="false" customHeight="true" outlineLevel="0" collapsed="false">
      <c r="A17" s="66" t="n">
        <v>15</v>
      </c>
      <c r="B17" s="8" t="s">
        <v>2136</v>
      </c>
      <c r="C17" s="8" t="s">
        <v>2137</v>
      </c>
      <c r="D17" s="66"/>
      <c r="E17" s="8"/>
      <c r="F17" s="66"/>
      <c r="G17" s="8"/>
    </row>
    <row r="19" customFormat="false" ht="15" hidden="false" customHeight="true" outlineLevel="0" collapsed="false">
      <c r="A19" s="58" t="s">
        <v>2138</v>
      </c>
      <c r="B19" s="58"/>
      <c r="C19" s="58"/>
      <c r="D19" s="58"/>
      <c r="E19" s="58"/>
      <c r="F19" s="58"/>
      <c r="G19" s="58"/>
    </row>
  </sheetData>
  <mergeCells count="2">
    <mergeCell ref="A1:G1"/>
    <mergeCell ref="A19:G19"/>
  </mergeCells>
  <conditionalFormatting sqref="D3:D17">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7"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20"/>
    <col collapsed="false" customWidth="true" hidden="false" outlineLevel="0" max="4" min="4" style="1" width="60"/>
    <col collapsed="false" customWidth="true" hidden="false" outlineLevel="0" max="5" min="5" style="1" width="34"/>
    <col collapsed="false" customWidth="true" hidden="false" outlineLevel="0" max="6" min="6" style="1" width="14"/>
    <col collapsed="false" customWidth="true" hidden="false" outlineLevel="0" max="7" min="7" style="1" width="26"/>
  </cols>
  <sheetData>
    <row r="1" customFormat="false" ht="24" hidden="false" customHeight="true" outlineLevel="0" collapsed="false">
      <c r="A1" s="60" t="s">
        <v>2139</v>
      </c>
      <c r="B1" s="60"/>
      <c r="C1" s="60"/>
      <c r="D1" s="60"/>
      <c r="E1" s="60"/>
      <c r="F1" s="60"/>
      <c r="G1" s="60"/>
    </row>
    <row r="2" customFormat="false" ht="30" hidden="false" customHeight="true" outlineLevel="0" collapsed="false">
      <c r="A2" s="61" t="s">
        <v>2140</v>
      </c>
      <c r="B2" s="61" t="s">
        <v>2141</v>
      </c>
      <c r="C2" s="61" t="s">
        <v>2142</v>
      </c>
      <c r="D2" s="61" t="s">
        <v>2143</v>
      </c>
      <c r="E2" s="61" t="s">
        <v>2144</v>
      </c>
      <c r="F2" s="61" t="s">
        <v>2145</v>
      </c>
      <c r="G2" s="61" t="s">
        <v>2146</v>
      </c>
    </row>
    <row r="3" customFormat="false" ht="45.75" hidden="false" customHeight="true" outlineLevel="0" collapsed="false">
      <c r="A3" s="8" t="s">
        <v>2147</v>
      </c>
      <c r="B3" s="8" t="s">
        <v>2148</v>
      </c>
      <c r="C3" s="8" t="s">
        <v>2149</v>
      </c>
      <c r="D3" s="8" t="s">
        <v>2150</v>
      </c>
      <c r="E3" s="8" t="s">
        <v>2151</v>
      </c>
      <c r="F3" s="8"/>
      <c r="G3" s="8"/>
    </row>
    <row r="4" customFormat="false" ht="68.25" hidden="false" customHeight="true" outlineLevel="0" collapsed="false">
      <c r="A4" s="8" t="s">
        <v>2152</v>
      </c>
      <c r="B4" s="8" t="s">
        <v>2153</v>
      </c>
      <c r="C4" s="8" t="s">
        <v>2154</v>
      </c>
      <c r="D4" s="8" t="s">
        <v>2155</v>
      </c>
      <c r="E4" s="8" t="s">
        <v>2156</v>
      </c>
      <c r="F4" s="8"/>
      <c r="G4" s="8"/>
    </row>
    <row r="5" customFormat="false" ht="45.75" hidden="false" customHeight="true" outlineLevel="0" collapsed="false">
      <c r="A5" s="8" t="s">
        <v>2157</v>
      </c>
      <c r="B5" s="8" t="s">
        <v>2158</v>
      </c>
      <c r="C5" s="8" t="s">
        <v>2159</v>
      </c>
      <c r="D5" s="8" t="s">
        <v>2160</v>
      </c>
      <c r="E5" s="8" t="s">
        <v>2161</v>
      </c>
      <c r="F5" s="8"/>
      <c r="G5" s="8"/>
    </row>
    <row r="6" customFormat="false" ht="57" hidden="false" customHeight="true" outlineLevel="0" collapsed="false">
      <c r="A6" s="8" t="s">
        <v>2162</v>
      </c>
      <c r="B6" s="8" t="s">
        <v>2163</v>
      </c>
      <c r="C6" s="8" t="s">
        <v>2164</v>
      </c>
      <c r="D6" s="8" t="s">
        <v>2165</v>
      </c>
      <c r="E6" s="8" t="s">
        <v>2166</v>
      </c>
      <c r="F6" s="8"/>
      <c r="G6" s="8"/>
    </row>
    <row r="7" customFormat="false" ht="34.5" hidden="false" customHeight="true" outlineLevel="0" collapsed="false">
      <c r="A7" s="8" t="s">
        <v>2167</v>
      </c>
      <c r="B7" s="8" t="s">
        <v>2168</v>
      </c>
      <c r="C7" s="8" t="s">
        <v>2169</v>
      </c>
      <c r="D7" s="8" t="s">
        <v>2170</v>
      </c>
      <c r="E7" s="8" t="s">
        <v>2171</v>
      </c>
      <c r="F7" s="8"/>
      <c r="G7" s="8"/>
    </row>
    <row r="8" customFormat="false" ht="34.5" hidden="false" customHeight="true" outlineLevel="0" collapsed="false">
      <c r="A8" s="8" t="s">
        <v>2172</v>
      </c>
      <c r="B8" s="8" t="s">
        <v>2173</v>
      </c>
      <c r="C8" s="8" t="s">
        <v>2174</v>
      </c>
      <c r="D8" s="8" t="s">
        <v>2175</v>
      </c>
      <c r="E8" s="8" t="s">
        <v>2176</v>
      </c>
      <c r="F8" s="8"/>
      <c r="G8" s="8"/>
    </row>
    <row r="9" customFormat="false" ht="23.25" hidden="false" customHeight="true" outlineLevel="0" collapsed="false">
      <c r="A9" s="8" t="s">
        <v>2177</v>
      </c>
      <c r="B9" s="8" t="s">
        <v>2178</v>
      </c>
      <c r="C9" s="8" t="s">
        <v>2179</v>
      </c>
      <c r="D9" s="8" t="s">
        <v>2180</v>
      </c>
      <c r="E9" s="8" t="s">
        <v>2181</v>
      </c>
      <c r="F9" s="8"/>
      <c r="G9" s="8"/>
    </row>
    <row r="10" customFormat="false" ht="15" hidden="false" customHeight="true" outlineLevel="0" collapsed="false">
      <c r="A10" s="8" t="s">
        <v>2182</v>
      </c>
      <c r="B10" s="8" t="s">
        <v>2183</v>
      </c>
      <c r="C10" s="8" t="s">
        <v>2184</v>
      </c>
      <c r="D10" s="8" t="s">
        <v>2185</v>
      </c>
      <c r="E10" s="8" t="s">
        <v>2176</v>
      </c>
      <c r="F10" s="8"/>
      <c r="G10" s="8"/>
    </row>
    <row r="12" customFormat="false" ht="15" hidden="false" customHeight="true" outlineLevel="0" collapsed="false">
      <c r="A12" s="92" t="s">
        <v>2186</v>
      </c>
      <c r="B12" s="92"/>
      <c r="C12" s="92"/>
      <c r="D12" s="92"/>
      <c r="E12" s="92"/>
      <c r="F12" s="92"/>
      <c r="G12" s="92"/>
    </row>
  </sheetData>
  <mergeCells count="2">
    <mergeCell ref="A1:G1"/>
    <mergeCell ref="A12:G12"/>
  </mergeCells>
  <conditionalFormatting sqref="F3:F12">
    <cfRule type="cellIs" priority="2" operator="equal" aboveAverage="0" equalAverage="0" bottom="0" percent="0" rank="0" text="" dxfId="22">
      <formula>"Yes"</formula>
    </cfRule>
    <cfRule type="cellIs" priority="3" operator="equal" aboveAverage="0" equalAverage="0" bottom="0" percent="0" rank="0" text="" dxfId="19">
      <formula>"No"</formula>
    </cfRule>
    <cfRule type="cellIs" priority="4" operator="equal" aboveAverage="0" equalAverage="0" bottom="0" percent="0" rank="0" text="" dxfId="18">
      <formula>"TBD"</formula>
    </cfRule>
  </conditionalFormatting>
  <dataValidations count="1">
    <dataValidation allowBlank="true" errorStyle="stop" operator="between" showDropDown="false" showErrorMessage="false" showInputMessage="false" sqref="F3:F10" type="list">
      <formula1>"Yes,No,TBD"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2187</v>
      </c>
      <c r="B1" s="60"/>
      <c r="C1" s="60"/>
      <c r="D1" s="60"/>
      <c r="E1" s="60"/>
      <c r="F1" s="60"/>
      <c r="G1" s="60"/>
      <c r="I1" s="70" t="s">
        <v>1272</v>
      </c>
      <c r="J1" s="71" t="n">
        <f aca="false">IFERROR((COUNTIF(D3:D18,"Yes")+0.5*COUNTIF(D3:D18,"Partial"))/(COUNTA(D3:D18)-COUNTIF(D3:D18,"N/A")),0)</f>
        <v>0</v>
      </c>
    </row>
    <row r="2" customFormat="false" ht="25.5" hidden="false" customHeight="true" outlineLevel="0" collapsed="false">
      <c r="A2" s="61" t="s">
        <v>88</v>
      </c>
      <c r="B2" s="61" t="s">
        <v>2188</v>
      </c>
      <c r="C2" s="61" t="s">
        <v>957</v>
      </c>
      <c r="D2" s="61" t="s">
        <v>960</v>
      </c>
      <c r="E2" s="61" t="s">
        <v>961</v>
      </c>
      <c r="F2" s="61" t="s">
        <v>209</v>
      </c>
      <c r="G2" s="61" t="s">
        <v>962</v>
      </c>
    </row>
    <row r="3" customFormat="false" ht="45.75" hidden="false" customHeight="true" outlineLevel="0" collapsed="false">
      <c r="A3" s="66" t="n">
        <v>1</v>
      </c>
      <c r="B3" s="8" t="s">
        <v>2189</v>
      </c>
      <c r="C3" s="8" t="s">
        <v>2190</v>
      </c>
      <c r="D3" s="66"/>
      <c r="E3" s="8"/>
      <c r="F3" s="66"/>
      <c r="G3" s="8"/>
    </row>
    <row r="4" customFormat="false" ht="23.25" hidden="false" customHeight="true" outlineLevel="0" collapsed="false">
      <c r="A4" s="66" t="n">
        <v>2</v>
      </c>
      <c r="B4" s="8" t="s">
        <v>2189</v>
      </c>
      <c r="C4" s="8" t="s">
        <v>2191</v>
      </c>
      <c r="D4" s="66"/>
      <c r="E4" s="8"/>
      <c r="F4" s="66"/>
      <c r="G4" s="8"/>
    </row>
    <row r="5" customFormat="false" ht="34.5" hidden="false" customHeight="true" outlineLevel="0" collapsed="false">
      <c r="A5" s="66" t="n">
        <v>3</v>
      </c>
      <c r="B5" s="8" t="s">
        <v>2189</v>
      </c>
      <c r="C5" s="8" t="s">
        <v>2192</v>
      </c>
      <c r="D5" s="66"/>
      <c r="E5" s="8"/>
      <c r="F5" s="66"/>
      <c r="G5" s="8"/>
    </row>
    <row r="6" customFormat="false" ht="23.25" hidden="false" customHeight="true" outlineLevel="0" collapsed="false">
      <c r="A6" s="66" t="n">
        <v>4</v>
      </c>
      <c r="B6" s="8" t="s">
        <v>2189</v>
      </c>
      <c r="C6" s="8" t="s">
        <v>2193</v>
      </c>
      <c r="D6" s="66"/>
      <c r="E6" s="8"/>
      <c r="F6" s="66"/>
      <c r="G6" s="8"/>
    </row>
    <row r="7" customFormat="false" ht="23.25" hidden="false" customHeight="true" outlineLevel="0" collapsed="false">
      <c r="A7" s="66" t="n">
        <v>5</v>
      </c>
      <c r="B7" s="8" t="s">
        <v>2189</v>
      </c>
      <c r="C7" s="8" t="s">
        <v>2194</v>
      </c>
      <c r="D7" s="66"/>
      <c r="E7" s="8"/>
      <c r="F7" s="66"/>
      <c r="G7" s="8"/>
    </row>
    <row r="8" customFormat="false" ht="23.25" hidden="false" customHeight="true" outlineLevel="0" collapsed="false">
      <c r="A8" s="66" t="n">
        <v>6</v>
      </c>
      <c r="B8" s="8" t="s">
        <v>2195</v>
      </c>
      <c r="C8" s="8" t="s">
        <v>2196</v>
      </c>
      <c r="D8" s="66"/>
      <c r="E8" s="8"/>
      <c r="F8" s="66"/>
      <c r="G8" s="8"/>
    </row>
    <row r="9" customFormat="false" ht="23.25" hidden="false" customHeight="true" outlineLevel="0" collapsed="false">
      <c r="A9" s="66" t="n">
        <v>7</v>
      </c>
      <c r="B9" s="8" t="s">
        <v>2195</v>
      </c>
      <c r="C9" s="8" t="s">
        <v>2197</v>
      </c>
      <c r="D9" s="66"/>
      <c r="E9" s="8"/>
      <c r="F9" s="66"/>
      <c r="G9" s="8"/>
    </row>
    <row r="10" customFormat="false" ht="34.5" hidden="false" customHeight="true" outlineLevel="0" collapsed="false">
      <c r="A10" s="66" t="n">
        <v>8</v>
      </c>
      <c r="B10" s="8" t="s">
        <v>2198</v>
      </c>
      <c r="C10" s="8" t="s">
        <v>2199</v>
      </c>
      <c r="D10" s="66"/>
      <c r="E10" s="8"/>
      <c r="F10" s="66"/>
      <c r="G10" s="8"/>
    </row>
    <row r="11" customFormat="false" ht="23.25" hidden="false" customHeight="true" outlineLevel="0" collapsed="false">
      <c r="A11" s="66" t="n">
        <v>9</v>
      </c>
      <c r="B11" s="8" t="s">
        <v>2198</v>
      </c>
      <c r="C11" s="8" t="s">
        <v>2200</v>
      </c>
      <c r="D11" s="66"/>
      <c r="E11" s="8"/>
      <c r="F11" s="66"/>
      <c r="G11" s="8"/>
    </row>
    <row r="12" customFormat="false" ht="23.25" hidden="false" customHeight="true" outlineLevel="0" collapsed="false">
      <c r="A12" s="66" t="n">
        <v>10</v>
      </c>
      <c r="B12" s="8" t="s">
        <v>2201</v>
      </c>
      <c r="C12" s="8" t="s">
        <v>2202</v>
      </c>
      <c r="D12" s="66"/>
      <c r="E12" s="8"/>
      <c r="F12" s="66"/>
      <c r="G12" s="8"/>
    </row>
    <row r="13" customFormat="false" ht="23.25" hidden="false" customHeight="true" outlineLevel="0" collapsed="false">
      <c r="A13" s="66" t="n">
        <v>11</v>
      </c>
      <c r="B13" s="8" t="s">
        <v>2203</v>
      </c>
      <c r="C13" s="8" t="s">
        <v>2204</v>
      </c>
      <c r="D13" s="66"/>
      <c r="E13" s="8"/>
      <c r="F13" s="66"/>
      <c r="G13" s="8"/>
    </row>
    <row r="14" customFormat="false" ht="23.25" hidden="false" customHeight="true" outlineLevel="0" collapsed="false">
      <c r="A14" s="66" t="n">
        <v>12</v>
      </c>
      <c r="B14" s="8" t="s">
        <v>2203</v>
      </c>
      <c r="C14" s="8" t="s">
        <v>2205</v>
      </c>
      <c r="D14" s="66"/>
      <c r="E14" s="8"/>
      <c r="F14" s="66"/>
      <c r="G14" s="8"/>
    </row>
    <row r="15" customFormat="false" ht="23.25" hidden="false" customHeight="true" outlineLevel="0" collapsed="false">
      <c r="A15" s="66" t="n">
        <v>13</v>
      </c>
      <c r="B15" s="8" t="s">
        <v>2206</v>
      </c>
      <c r="C15" s="8" t="s">
        <v>2207</v>
      </c>
      <c r="D15" s="66"/>
      <c r="E15" s="8"/>
      <c r="F15" s="66"/>
      <c r="G15" s="8"/>
    </row>
    <row r="16" customFormat="false" ht="23.25" hidden="false" customHeight="true" outlineLevel="0" collapsed="false">
      <c r="A16" s="66" t="n">
        <v>14</v>
      </c>
      <c r="B16" s="8" t="s">
        <v>2208</v>
      </c>
      <c r="C16" s="8" t="s">
        <v>2209</v>
      </c>
      <c r="D16" s="66"/>
      <c r="E16" s="8"/>
      <c r="F16" s="66"/>
      <c r="G16" s="8"/>
    </row>
    <row r="17" customFormat="false" ht="23.25" hidden="false" customHeight="true" outlineLevel="0" collapsed="false">
      <c r="A17" s="66" t="n">
        <v>15</v>
      </c>
      <c r="B17" s="8" t="s">
        <v>2210</v>
      </c>
      <c r="C17" s="8" t="s">
        <v>2211</v>
      </c>
      <c r="D17" s="66"/>
      <c r="E17" s="8"/>
      <c r="F17" s="66"/>
      <c r="G17" s="8"/>
    </row>
    <row r="18" customFormat="false" ht="23.25" hidden="false" customHeight="true" outlineLevel="0" collapsed="false">
      <c r="A18" s="66" t="n">
        <v>16</v>
      </c>
      <c r="B18" s="8" t="s">
        <v>2212</v>
      </c>
      <c r="C18" s="8" t="s">
        <v>2213</v>
      </c>
      <c r="D18" s="66"/>
      <c r="E18" s="8"/>
      <c r="F18" s="66"/>
      <c r="G18" s="8"/>
    </row>
    <row r="20" customFormat="false" ht="15" hidden="false" customHeight="true" outlineLevel="0" collapsed="false">
      <c r="A20" s="58" t="s">
        <v>2214</v>
      </c>
      <c r="B20" s="58"/>
      <c r="C20" s="58"/>
      <c r="D20" s="58"/>
      <c r="E20" s="58"/>
      <c r="F20" s="58"/>
      <c r="G20" s="58"/>
    </row>
  </sheetData>
  <mergeCells count="2">
    <mergeCell ref="A1:G1"/>
    <mergeCell ref="A20:G20"/>
  </mergeCells>
  <conditionalFormatting sqref="D3:D18">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8"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2215</v>
      </c>
      <c r="B1" s="60"/>
      <c r="C1" s="60"/>
      <c r="D1" s="60"/>
      <c r="E1" s="60"/>
      <c r="F1" s="60"/>
      <c r="G1" s="60"/>
      <c r="I1" s="70" t="s">
        <v>1272</v>
      </c>
      <c r="J1" s="71" t="n">
        <f aca="false">IFERROR((COUNTIF(D3:D12,"Yes")+0.5*COUNTIF(D3:D12,"Partial"))/(COUNTA(D3:D12)-COUNTIF(D3:D12,"N/A")),0)</f>
        <v>0</v>
      </c>
    </row>
    <row r="2" customFormat="false" ht="25.5" hidden="false" customHeight="true" outlineLevel="0" collapsed="false">
      <c r="A2" s="61" t="s">
        <v>88</v>
      </c>
      <c r="B2" s="61" t="s">
        <v>2216</v>
      </c>
      <c r="C2" s="61" t="s">
        <v>957</v>
      </c>
      <c r="D2" s="61" t="s">
        <v>960</v>
      </c>
      <c r="E2" s="61" t="s">
        <v>961</v>
      </c>
      <c r="F2" s="61" t="s">
        <v>209</v>
      </c>
      <c r="G2" s="61" t="s">
        <v>1275</v>
      </c>
    </row>
    <row r="3" customFormat="false" ht="23.25" hidden="false" customHeight="true" outlineLevel="0" collapsed="false">
      <c r="A3" s="66" t="n">
        <v>1</v>
      </c>
      <c r="B3" s="8" t="s">
        <v>2217</v>
      </c>
      <c r="C3" s="8" t="s">
        <v>2218</v>
      </c>
      <c r="D3" s="66"/>
      <c r="E3" s="8"/>
      <c r="F3" s="66"/>
      <c r="G3" s="8"/>
    </row>
    <row r="4" customFormat="false" ht="23.25" hidden="false" customHeight="true" outlineLevel="0" collapsed="false">
      <c r="A4" s="66" t="n">
        <v>2</v>
      </c>
      <c r="B4" s="8" t="s">
        <v>2217</v>
      </c>
      <c r="C4" s="8" t="s">
        <v>2219</v>
      </c>
      <c r="D4" s="66"/>
      <c r="E4" s="8"/>
      <c r="F4" s="66"/>
      <c r="G4" s="8"/>
    </row>
    <row r="5" customFormat="false" ht="23.25" hidden="false" customHeight="true" outlineLevel="0" collapsed="false">
      <c r="A5" s="66" t="n">
        <v>3</v>
      </c>
      <c r="B5" s="8" t="s">
        <v>2220</v>
      </c>
      <c r="C5" s="8" t="s">
        <v>2221</v>
      </c>
      <c r="D5" s="66"/>
      <c r="E5" s="8"/>
      <c r="F5" s="66"/>
      <c r="G5" s="8"/>
    </row>
    <row r="6" customFormat="false" ht="34.5" hidden="false" customHeight="true" outlineLevel="0" collapsed="false">
      <c r="A6" s="66" t="n">
        <v>4</v>
      </c>
      <c r="B6" s="8" t="s">
        <v>2222</v>
      </c>
      <c r="C6" s="8" t="s">
        <v>2223</v>
      </c>
      <c r="D6" s="66"/>
      <c r="E6" s="8"/>
      <c r="F6" s="66"/>
      <c r="G6" s="8"/>
    </row>
    <row r="7" customFormat="false" ht="23.25" hidden="false" customHeight="true" outlineLevel="0" collapsed="false">
      <c r="A7" s="66" t="n">
        <v>5</v>
      </c>
      <c r="B7" s="8" t="s">
        <v>2222</v>
      </c>
      <c r="C7" s="8" t="s">
        <v>2224</v>
      </c>
      <c r="D7" s="66"/>
      <c r="E7" s="8"/>
      <c r="F7" s="66"/>
      <c r="G7" s="8"/>
    </row>
    <row r="8" customFormat="false" ht="23.25" hidden="false" customHeight="true" outlineLevel="0" collapsed="false">
      <c r="A8" s="66" t="n">
        <v>6</v>
      </c>
      <c r="B8" s="8" t="s">
        <v>2225</v>
      </c>
      <c r="C8" s="8" t="s">
        <v>2226</v>
      </c>
      <c r="D8" s="66"/>
      <c r="E8" s="8"/>
      <c r="F8" s="66"/>
      <c r="G8" s="8"/>
    </row>
    <row r="9" customFormat="false" ht="23.25" hidden="false" customHeight="true" outlineLevel="0" collapsed="false">
      <c r="A9" s="66" t="n">
        <v>7</v>
      </c>
      <c r="B9" s="8" t="s">
        <v>455</v>
      </c>
      <c r="C9" s="8" t="s">
        <v>2227</v>
      </c>
      <c r="D9" s="66"/>
      <c r="E9" s="8"/>
      <c r="F9" s="66"/>
      <c r="G9" s="8"/>
    </row>
    <row r="10" customFormat="false" ht="23.25" hidden="false" customHeight="true" outlineLevel="0" collapsed="false">
      <c r="A10" s="66" t="n">
        <v>8</v>
      </c>
      <c r="B10" s="8" t="s">
        <v>328</v>
      </c>
      <c r="C10" s="8" t="s">
        <v>2228</v>
      </c>
      <c r="D10" s="66"/>
      <c r="E10" s="8"/>
      <c r="F10" s="66"/>
      <c r="G10" s="8"/>
    </row>
    <row r="11" customFormat="false" ht="23.25" hidden="false" customHeight="true" outlineLevel="0" collapsed="false">
      <c r="A11" s="66" t="n">
        <v>9</v>
      </c>
      <c r="B11" s="8" t="s">
        <v>271</v>
      </c>
      <c r="C11" s="8" t="s">
        <v>2229</v>
      </c>
      <c r="D11" s="66"/>
      <c r="E11" s="8"/>
      <c r="F11" s="66"/>
      <c r="G11" s="8"/>
    </row>
    <row r="12" customFormat="false" ht="23.25" hidden="false" customHeight="true" outlineLevel="0" collapsed="false">
      <c r="A12" s="66" t="n">
        <v>10</v>
      </c>
      <c r="B12" s="8" t="s">
        <v>1279</v>
      </c>
      <c r="C12" s="8" t="s">
        <v>2230</v>
      </c>
      <c r="D12" s="66"/>
      <c r="E12" s="8"/>
      <c r="F12" s="66"/>
      <c r="G12" s="8"/>
    </row>
    <row r="14" customFormat="false" ht="15" hidden="false" customHeight="true" outlineLevel="0" collapsed="false">
      <c r="A14" s="58" t="s">
        <v>2231</v>
      </c>
      <c r="B14" s="58"/>
      <c r="C14" s="58"/>
      <c r="D14" s="58"/>
      <c r="E14" s="58"/>
      <c r="F14" s="58"/>
      <c r="G14" s="58"/>
    </row>
  </sheetData>
  <mergeCells count="2">
    <mergeCell ref="A1:G1"/>
    <mergeCell ref="A14:G14"/>
  </mergeCells>
  <conditionalFormatting sqref="D3:D12">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2"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2232</v>
      </c>
      <c r="B1" s="60"/>
      <c r="C1" s="60"/>
      <c r="D1" s="60"/>
      <c r="E1" s="60"/>
      <c r="F1" s="60"/>
      <c r="G1" s="60"/>
      <c r="I1" s="70" t="s">
        <v>1272</v>
      </c>
      <c r="J1" s="71" t="n">
        <f aca="false">IFERROR((COUNTIF(D3:D10,"Yes")+0.5*COUNTIF(D3:D10,"Partial"))/(COUNTA(D3:D10)-COUNTIF(D3:D10,"N/A")),0)</f>
        <v>0</v>
      </c>
    </row>
    <row r="2" customFormat="false" ht="25.5" hidden="false" customHeight="true" outlineLevel="0" collapsed="false">
      <c r="A2" s="61" t="s">
        <v>88</v>
      </c>
      <c r="B2" s="61" t="s">
        <v>2216</v>
      </c>
      <c r="C2" s="61" t="s">
        <v>957</v>
      </c>
      <c r="D2" s="61" t="s">
        <v>960</v>
      </c>
      <c r="E2" s="61" t="s">
        <v>961</v>
      </c>
      <c r="F2" s="61" t="s">
        <v>209</v>
      </c>
      <c r="G2" s="61" t="s">
        <v>1275</v>
      </c>
    </row>
    <row r="3" customFormat="false" ht="23.25" hidden="false" customHeight="true" outlineLevel="0" collapsed="false">
      <c r="A3" s="66" t="n">
        <v>1</v>
      </c>
      <c r="B3" s="8" t="s">
        <v>2233</v>
      </c>
      <c r="C3" s="8" t="s">
        <v>2234</v>
      </c>
      <c r="D3" s="66"/>
      <c r="E3" s="8"/>
      <c r="F3" s="66"/>
      <c r="G3" s="8"/>
    </row>
    <row r="4" customFormat="false" ht="23.25" hidden="false" customHeight="true" outlineLevel="0" collapsed="false">
      <c r="A4" s="66" t="n">
        <v>2</v>
      </c>
      <c r="B4" s="8" t="s">
        <v>2235</v>
      </c>
      <c r="C4" s="8" t="s">
        <v>2236</v>
      </c>
      <c r="D4" s="66"/>
      <c r="E4" s="8"/>
      <c r="F4" s="66"/>
      <c r="G4" s="8"/>
    </row>
    <row r="5" customFormat="false" ht="23.25" hidden="false" customHeight="true" outlineLevel="0" collapsed="false">
      <c r="A5" s="66" t="n">
        <v>3</v>
      </c>
      <c r="B5" s="8" t="s">
        <v>2237</v>
      </c>
      <c r="C5" s="8" t="s">
        <v>2238</v>
      </c>
      <c r="D5" s="66"/>
      <c r="E5" s="8"/>
      <c r="F5" s="66"/>
      <c r="G5" s="8"/>
    </row>
    <row r="6" customFormat="false" ht="34.5" hidden="false" customHeight="true" outlineLevel="0" collapsed="false">
      <c r="A6" s="66" t="n">
        <v>4</v>
      </c>
      <c r="B6" s="8" t="s">
        <v>2239</v>
      </c>
      <c r="C6" s="8" t="s">
        <v>2240</v>
      </c>
      <c r="D6" s="66"/>
      <c r="E6" s="8"/>
      <c r="F6" s="66"/>
      <c r="G6" s="8"/>
    </row>
    <row r="7" customFormat="false" ht="23.25" hidden="false" customHeight="true" outlineLevel="0" collapsed="false">
      <c r="A7" s="66" t="n">
        <v>5</v>
      </c>
      <c r="B7" s="8" t="s">
        <v>2241</v>
      </c>
      <c r="C7" s="8" t="s">
        <v>2242</v>
      </c>
      <c r="D7" s="66"/>
      <c r="E7" s="8"/>
      <c r="F7" s="66"/>
      <c r="G7" s="8"/>
    </row>
    <row r="8" customFormat="false" ht="23.25" hidden="false" customHeight="true" outlineLevel="0" collapsed="false">
      <c r="A8" s="66" t="n">
        <v>6</v>
      </c>
      <c r="B8" s="8" t="s">
        <v>173</v>
      </c>
      <c r="C8" s="8" t="s">
        <v>2243</v>
      </c>
      <c r="D8" s="66"/>
      <c r="E8" s="8"/>
      <c r="F8" s="66"/>
      <c r="G8" s="8"/>
    </row>
    <row r="9" customFormat="false" ht="23.25" hidden="false" customHeight="true" outlineLevel="0" collapsed="false">
      <c r="A9" s="66" t="n">
        <v>7</v>
      </c>
      <c r="B9" s="8" t="s">
        <v>389</v>
      </c>
      <c r="C9" s="8" t="s">
        <v>2244</v>
      </c>
      <c r="D9" s="66"/>
      <c r="E9" s="8"/>
      <c r="F9" s="66"/>
      <c r="G9" s="8"/>
    </row>
    <row r="10" customFormat="false" ht="23.25" hidden="false" customHeight="true" outlineLevel="0" collapsed="false">
      <c r="A10" s="66" t="n">
        <v>8</v>
      </c>
      <c r="B10" s="8" t="s">
        <v>271</v>
      </c>
      <c r="C10" s="8" t="s">
        <v>2245</v>
      </c>
      <c r="D10" s="66"/>
      <c r="E10" s="8"/>
      <c r="F10" s="66"/>
      <c r="G10" s="8"/>
    </row>
    <row r="12" customFormat="false" ht="15" hidden="false" customHeight="true" outlineLevel="0" collapsed="false">
      <c r="A12" s="58" t="s">
        <v>2246</v>
      </c>
      <c r="B12" s="58"/>
      <c r="C12" s="58"/>
      <c r="D12" s="58"/>
      <c r="E12" s="58"/>
      <c r="F12" s="58"/>
      <c r="G12" s="58"/>
    </row>
  </sheetData>
  <mergeCells count="2">
    <mergeCell ref="A1:G1"/>
    <mergeCell ref="A12:G12"/>
  </mergeCells>
  <conditionalFormatting sqref="D3:D10">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10"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2247</v>
      </c>
      <c r="B1" s="60"/>
      <c r="C1" s="60"/>
      <c r="D1" s="60"/>
      <c r="E1" s="60"/>
      <c r="F1" s="60"/>
      <c r="G1" s="60"/>
      <c r="I1" s="70" t="s">
        <v>1272</v>
      </c>
      <c r="J1" s="71" t="n">
        <f aca="false">IFERROR((COUNTIF(D3:D9,"Yes")+0.5*COUNTIF(D3:D9,"Partial"))/(COUNTA(D3:D9)-COUNTIF(D3:D9,"N/A")),0)</f>
        <v>0</v>
      </c>
    </row>
    <row r="2" customFormat="false" ht="25.5" hidden="false" customHeight="true" outlineLevel="0" collapsed="false">
      <c r="A2" s="61" t="s">
        <v>88</v>
      </c>
      <c r="B2" s="61" t="s">
        <v>2216</v>
      </c>
      <c r="C2" s="61" t="s">
        <v>957</v>
      </c>
      <c r="D2" s="61" t="s">
        <v>960</v>
      </c>
      <c r="E2" s="61" t="s">
        <v>961</v>
      </c>
      <c r="F2" s="61" t="s">
        <v>209</v>
      </c>
      <c r="G2" s="61" t="s">
        <v>1275</v>
      </c>
    </row>
    <row r="3" customFormat="false" ht="23.25" hidden="false" customHeight="true" outlineLevel="0" collapsed="false">
      <c r="A3" s="66" t="n">
        <v>1</v>
      </c>
      <c r="B3" s="8" t="s">
        <v>2248</v>
      </c>
      <c r="C3" s="8" t="s">
        <v>2249</v>
      </c>
      <c r="D3" s="66"/>
      <c r="E3" s="8"/>
      <c r="F3" s="66"/>
      <c r="G3" s="8"/>
    </row>
    <row r="4" customFormat="false" ht="23.25" hidden="false" customHeight="true" outlineLevel="0" collapsed="false">
      <c r="A4" s="66" t="n">
        <v>2</v>
      </c>
      <c r="B4" s="8" t="s">
        <v>2250</v>
      </c>
      <c r="C4" s="8" t="s">
        <v>2251</v>
      </c>
      <c r="D4" s="66"/>
      <c r="E4" s="8"/>
      <c r="F4" s="66"/>
      <c r="G4" s="8"/>
    </row>
    <row r="5" customFormat="false" ht="23.25" hidden="false" customHeight="true" outlineLevel="0" collapsed="false">
      <c r="A5" s="66" t="n">
        <v>3</v>
      </c>
      <c r="B5" s="8" t="s">
        <v>2252</v>
      </c>
      <c r="C5" s="8" t="s">
        <v>2253</v>
      </c>
      <c r="D5" s="66"/>
      <c r="E5" s="8"/>
      <c r="F5" s="66"/>
      <c r="G5" s="8"/>
    </row>
    <row r="6" customFormat="false" ht="23.25" hidden="false" customHeight="true" outlineLevel="0" collapsed="false">
      <c r="A6" s="66" t="n">
        <v>4</v>
      </c>
      <c r="B6" s="8" t="s">
        <v>2254</v>
      </c>
      <c r="C6" s="8" t="s">
        <v>2255</v>
      </c>
      <c r="D6" s="66"/>
      <c r="E6" s="8"/>
      <c r="F6" s="66"/>
      <c r="G6" s="8"/>
    </row>
    <row r="7" customFormat="false" ht="23.25" hidden="false" customHeight="true" outlineLevel="0" collapsed="false">
      <c r="A7" s="66" t="n">
        <v>5</v>
      </c>
      <c r="B7" s="8" t="s">
        <v>2256</v>
      </c>
      <c r="C7" s="8" t="s">
        <v>2257</v>
      </c>
      <c r="D7" s="66"/>
      <c r="E7" s="8"/>
      <c r="F7" s="66"/>
      <c r="G7" s="8"/>
    </row>
    <row r="8" customFormat="false" ht="23.25" hidden="false" customHeight="true" outlineLevel="0" collapsed="false">
      <c r="A8" s="66" t="n">
        <v>6</v>
      </c>
      <c r="B8" s="8" t="s">
        <v>2258</v>
      </c>
      <c r="C8" s="8" t="s">
        <v>2259</v>
      </c>
      <c r="D8" s="66"/>
      <c r="E8" s="8"/>
      <c r="F8" s="66"/>
      <c r="G8" s="8"/>
    </row>
    <row r="9" customFormat="false" ht="23.25" hidden="false" customHeight="true" outlineLevel="0" collapsed="false">
      <c r="A9" s="66" t="n">
        <v>7</v>
      </c>
      <c r="B9" s="8" t="s">
        <v>1568</v>
      </c>
      <c r="C9" s="8" t="s">
        <v>2260</v>
      </c>
      <c r="D9" s="66"/>
      <c r="E9" s="8"/>
      <c r="F9" s="66"/>
      <c r="G9" s="8"/>
    </row>
    <row r="11" customFormat="false" ht="15" hidden="false" customHeight="true" outlineLevel="0" collapsed="false">
      <c r="A11" s="58" t="s">
        <v>2261</v>
      </c>
      <c r="B11" s="58"/>
      <c r="C11" s="58"/>
      <c r="D11" s="58"/>
      <c r="E11" s="58"/>
      <c r="F11" s="58"/>
      <c r="G11" s="58"/>
    </row>
  </sheetData>
  <mergeCells count="2">
    <mergeCell ref="A1:G1"/>
    <mergeCell ref="A11:G11"/>
  </mergeCells>
  <conditionalFormatting sqref="D3:D9">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9"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56"/>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26"/>
  </cols>
  <sheetData>
    <row r="1" customFormat="false" ht="24" hidden="false" customHeight="true" outlineLevel="0" collapsed="false">
      <c r="A1" s="60" t="s">
        <v>2262</v>
      </c>
      <c r="B1" s="60"/>
      <c r="C1" s="60"/>
      <c r="D1" s="60"/>
      <c r="E1" s="60"/>
      <c r="F1" s="60"/>
      <c r="G1" s="60"/>
      <c r="I1" s="70" t="s">
        <v>1272</v>
      </c>
      <c r="J1" s="71" t="n">
        <f aca="false">IFERROR((COUNTIF(D3:D8,"Yes")+0.5*COUNTIF(D3:D8,"Partial"))/(COUNTA(D3:D8)-COUNTIF(D3:D8,"N/A")),0)</f>
        <v>0</v>
      </c>
    </row>
    <row r="2" customFormat="false" ht="25.5" hidden="false" customHeight="true" outlineLevel="0" collapsed="false">
      <c r="A2" s="61" t="s">
        <v>88</v>
      </c>
      <c r="B2" s="61" t="s">
        <v>2216</v>
      </c>
      <c r="C2" s="61" t="s">
        <v>957</v>
      </c>
      <c r="D2" s="61" t="s">
        <v>960</v>
      </c>
      <c r="E2" s="61" t="s">
        <v>961</v>
      </c>
      <c r="F2" s="61" t="s">
        <v>209</v>
      </c>
      <c r="G2" s="61" t="s">
        <v>1275</v>
      </c>
    </row>
    <row r="3" customFormat="false" ht="23.25" hidden="false" customHeight="true" outlineLevel="0" collapsed="false">
      <c r="A3" s="66" t="n">
        <v>1</v>
      </c>
      <c r="B3" s="8" t="s">
        <v>1279</v>
      </c>
      <c r="C3" s="8" t="s">
        <v>2263</v>
      </c>
      <c r="D3" s="66"/>
      <c r="E3" s="8"/>
      <c r="F3" s="66"/>
      <c r="G3" s="8"/>
    </row>
    <row r="4" customFormat="false" ht="23.25" hidden="false" customHeight="true" outlineLevel="0" collapsed="false">
      <c r="A4" s="66" t="n">
        <v>2</v>
      </c>
      <c r="B4" s="8" t="s">
        <v>2264</v>
      </c>
      <c r="C4" s="8" t="s">
        <v>2265</v>
      </c>
      <c r="D4" s="66"/>
      <c r="E4" s="8"/>
      <c r="F4" s="66"/>
      <c r="G4" s="8"/>
    </row>
    <row r="5" customFormat="false" ht="23.25" hidden="false" customHeight="true" outlineLevel="0" collapsed="false">
      <c r="A5" s="66" t="n">
        <v>3</v>
      </c>
      <c r="B5" s="8" t="s">
        <v>2266</v>
      </c>
      <c r="C5" s="8" t="s">
        <v>2267</v>
      </c>
      <c r="D5" s="66"/>
      <c r="E5" s="8"/>
      <c r="F5" s="66"/>
      <c r="G5" s="8"/>
    </row>
    <row r="6" customFormat="false" ht="23.25" hidden="false" customHeight="true" outlineLevel="0" collapsed="false">
      <c r="A6" s="66" t="n">
        <v>4</v>
      </c>
      <c r="B6" s="8" t="s">
        <v>2268</v>
      </c>
      <c r="C6" s="8" t="s">
        <v>2269</v>
      </c>
      <c r="D6" s="66"/>
      <c r="E6" s="8"/>
      <c r="F6" s="66"/>
      <c r="G6" s="8"/>
    </row>
    <row r="7" customFormat="false" ht="23.25" hidden="false" customHeight="true" outlineLevel="0" collapsed="false">
      <c r="A7" s="66" t="n">
        <v>5</v>
      </c>
      <c r="B7" s="8" t="s">
        <v>301</v>
      </c>
      <c r="C7" s="8" t="s">
        <v>2270</v>
      </c>
      <c r="D7" s="66"/>
      <c r="E7" s="8"/>
      <c r="F7" s="66"/>
      <c r="G7" s="8"/>
    </row>
    <row r="8" customFormat="false" ht="23.25" hidden="false" customHeight="true" outlineLevel="0" collapsed="false">
      <c r="A8" s="66" t="n">
        <v>6</v>
      </c>
      <c r="B8" s="8" t="s">
        <v>2271</v>
      </c>
      <c r="C8" s="8" t="s">
        <v>2272</v>
      </c>
      <c r="D8" s="66"/>
      <c r="E8" s="8"/>
      <c r="F8" s="66"/>
      <c r="G8" s="8"/>
    </row>
  </sheetData>
  <mergeCells count="1">
    <mergeCell ref="A1:G1"/>
  </mergeCells>
  <conditionalFormatting sqref="D3:D8">
    <cfRule type="cellIs" priority="2" operator="equal" aboveAverage="0" equalAverage="0" bottom="0" percent="0" rank="0" text="" dxfId="4">
      <formula>"Yes"</formula>
    </cfRule>
    <cfRule type="cellIs" priority="3" operator="equal" aboveAverage="0" equalAverage="0" bottom="0" percent="0" rank="0" text="" dxfId="3">
      <formula>"No"</formula>
    </cfRule>
    <cfRule type="cellIs" priority="4" operator="equal" aboveAverage="0" equalAverage="0" bottom="0" percent="0" rank="0" text="" dxfId="5">
      <formula>"Partial"</formula>
    </cfRule>
    <cfRule type="cellIs" priority="5" operator="equal" aboveAverage="0" equalAverage="0" bottom="0" percent="0" rank="0" text="" dxfId="15">
      <formula>"N/A"</formula>
    </cfRule>
  </conditionalFormatting>
  <dataValidations count="1">
    <dataValidation allowBlank="true" errorStyle="stop" operator="between" showDropDown="false" showErrorMessage="false" showInputMessage="false" sqref="D3:D8"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26"/>
    <col collapsed="false" customWidth="true" hidden="false" outlineLevel="0" max="4" min="4" style="1" width="50"/>
  </cols>
  <sheetData>
    <row r="1" customFormat="false" ht="25.5" hidden="false" customHeight="true" outlineLevel="0" collapsed="false">
      <c r="A1" s="34" t="s">
        <v>2273</v>
      </c>
      <c r="B1" s="34"/>
      <c r="C1" s="34"/>
      <c r="D1" s="34"/>
    </row>
    <row r="3" customFormat="false" ht="19.5" hidden="false" customHeight="true" outlineLevel="0" collapsed="false">
      <c r="A3" s="93" t="s">
        <v>2274</v>
      </c>
      <c r="B3" s="93"/>
      <c r="C3" s="93"/>
      <c r="D3" s="93"/>
    </row>
    <row r="4" customFormat="false" ht="15" hidden="false" customHeight="true" outlineLevel="0" collapsed="false">
      <c r="A4" s="6" t="s">
        <v>2275</v>
      </c>
      <c r="B4" s="6" t="s">
        <v>2276</v>
      </c>
      <c r="C4" s="6" t="s">
        <v>844</v>
      </c>
      <c r="D4" s="6" t="s">
        <v>1275</v>
      </c>
    </row>
    <row r="5" customFormat="false" ht="23.25" hidden="false" customHeight="true" outlineLevel="0" collapsed="false">
      <c r="A5" s="8" t="s">
        <v>477</v>
      </c>
      <c r="B5" s="8" t="s">
        <v>2277</v>
      </c>
      <c r="C5" s="8" t="s">
        <v>2278</v>
      </c>
      <c r="D5" s="8" t="s">
        <v>2279</v>
      </c>
    </row>
    <row r="6" customFormat="false" ht="15" hidden="false" customHeight="true" outlineLevel="0" collapsed="false">
      <c r="A6" s="8" t="s">
        <v>582</v>
      </c>
      <c r="B6" s="8" t="s">
        <v>2280</v>
      </c>
      <c r="C6" s="8" t="s">
        <v>2281</v>
      </c>
      <c r="D6" s="8" t="s">
        <v>2282</v>
      </c>
    </row>
    <row r="7" customFormat="false" ht="15" hidden="false" customHeight="true" outlineLevel="0" collapsed="false">
      <c r="A7" s="8" t="s">
        <v>625</v>
      </c>
      <c r="B7" s="8" t="s">
        <v>2283</v>
      </c>
      <c r="C7" s="8" t="s">
        <v>2284</v>
      </c>
      <c r="D7" s="8" t="s">
        <v>2285</v>
      </c>
    </row>
    <row r="8" customFormat="false" ht="15" hidden="false" customHeight="true" outlineLevel="0" collapsed="false">
      <c r="A8" s="8" t="s">
        <v>685</v>
      </c>
      <c r="B8" s="8" t="s">
        <v>2286</v>
      </c>
      <c r="C8" s="8" t="s">
        <v>2287</v>
      </c>
      <c r="D8" s="8" t="s">
        <v>2288</v>
      </c>
    </row>
    <row r="10" customFormat="false" ht="19.5" hidden="false" customHeight="true" outlineLevel="0" collapsed="false">
      <c r="A10" s="93" t="s">
        <v>2289</v>
      </c>
      <c r="B10" s="93"/>
      <c r="C10" s="93"/>
      <c r="D10" s="93"/>
    </row>
    <row r="11" customFormat="false" ht="15" hidden="false" customHeight="true" outlineLevel="0" collapsed="false">
      <c r="A11" s="6" t="s">
        <v>2275</v>
      </c>
      <c r="B11" s="6" t="s">
        <v>2276</v>
      </c>
      <c r="C11" s="6" t="s">
        <v>844</v>
      </c>
      <c r="D11" s="6" t="s">
        <v>1275</v>
      </c>
    </row>
    <row r="12" customFormat="false" ht="15" hidden="false" customHeight="true" outlineLevel="0" collapsed="false">
      <c r="A12" s="8" t="s">
        <v>845</v>
      </c>
      <c r="B12" s="8" t="s">
        <v>2290</v>
      </c>
      <c r="C12" s="8" t="s">
        <v>718</v>
      </c>
      <c r="D12" s="8" t="s">
        <v>2291</v>
      </c>
    </row>
    <row r="13" customFormat="false" ht="15" hidden="false" customHeight="true" outlineLevel="0" collapsed="false">
      <c r="A13" s="8" t="s">
        <v>855</v>
      </c>
      <c r="B13" s="8" t="s">
        <v>2292</v>
      </c>
      <c r="C13" s="8" t="s">
        <v>1601</v>
      </c>
      <c r="D13" s="8" t="s">
        <v>2293</v>
      </c>
    </row>
    <row r="14" customFormat="false" ht="15" hidden="false" customHeight="true" outlineLevel="0" collapsed="false">
      <c r="A14" s="8" t="s">
        <v>863</v>
      </c>
      <c r="B14" s="8" t="s">
        <v>2294</v>
      </c>
      <c r="C14" s="8" t="s">
        <v>2295</v>
      </c>
      <c r="D14" s="8" t="s">
        <v>2296</v>
      </c>
    </row>
    <row r="15" customFormat="false" ht="23.25" hidden="false" customHeight="true" outlineLevel="0" collapsed="false">
      <c r="A15" s="8" t="s">
        <v>871</v>
      </c>
      <c r="B15" s="8" t="s">
        <v>2297</v>
      </c>
      <c r="C15" s="8" t="s">
        <v>873</v>
      </c>
      <c r="D15" s="8" t="s">
        <v>2298</v>
      </c>
    </row>
    <row r="16" customFormat="false" ht="23.25" hidden="false" customHeight="true" outlineLevel="0" collapsed="false">
      <c r="A16" s="8" t="s">
        <v>887</v>
      </c>
      <c r="B16" s="8" t="s">
        <v>2299</v>
      </c>
      <c r="C16" s="8" t="s">
        <v>2300</v>
      </c>
      <c r="D16" s="8" t="s">
        <v>2301</v>
      </c>
    </row>
    <row r="17" customFormat="false" ht="15" hidden="false" customHeight="true" outlineLevel="0" collapsed="false">
      <c r="A17" s="8" t="s">
        <v>900</v>
      </c>
      <c r="B17" s="8" t="s">
        <v>2302</v>
      </c>
      <c r="C17" s="8" t="s">
        <v>271</v>
      </c>
      <c r="D17" s="8" t="s">
        <v>2303</v>
      </c>
    </row>
    <row r="18" customFormat="false" ht="15" hidden="false" customHeight="true" outlineLevel="0" collapsed="false">
      <c r="A18" s="8" t="s">
        <v>910</v>
      </c>
      <c r="B18" s="8" t="s">
        <v>2304</v>
      </c>
      <c r="C18" s="8" t="s">
        <v>912</v>
      </c>
      <c r="D18" s="8" t="s">
        <v>2305</v>
      </c>
    </row>
    <row r="19" customFormat="false" ht="15" hidden="false" customHeight="true" outlineLevel="0" collapsed="false">
      <c r="A19" s="8" t="s">
        <v>929</v>
      </c>
      <c r="B19" s="8" t="s">
        <v>2306</v>
      </c>
      <c r="C19" s="8" t="s">
        <v>212</v>
      </c>
      <c r="D19" s="8" t="s">
        <v>2307</v>
      </c>
    </row>
    <row r="20" customFormat="false" ht="23.25" hidden="false" customHeight="true" outlineLevel="0" collapsed="false">
      <c r="A20" s="8" t="s">
        <v>933</v>
      </c>
      <c r="B20" s="8" t="s">
        <v>935</v>
      </c>
      <c r="C20" s="8" t="s">
        <v>212</v>
      </c>
      <c r="D20" s="8" t="s">
        <v>2308</v>
      </c>
    </row>
    <row r="21" customFormat="false" ht="15" hidden="false" customHeight="true" outlineLevel="0" collapsed="false">
      <c r="A21" s="8" t="s">
        <v>937</v>
      </c>
      <c r="B21" s="8" t="s">
        <v>895</v>
      </c>
      <c r="C21" s="8" t="s">
        <v>212</v>
      </c>
      <c r="D21" s="8" t="s">
        <v>2309</v>
      </c>
    </row>
    <row r="22" customFormat="false" ht="15" hidden="false" customHeight="true" outlineLevel="0" collapsed="false">
      <c r="A22" s="8" t="s">
        <v>940</v>
      </c>
      <c r="B22" s="8" t="s">
        <v>2310</v>
      </c>
      <c r="C22" s="8" t="s">
        <v>212</v>
      </c>
      <c r="D22" s="8" t="s">
        <v>2311</v>
      </c>
    </row>
    <row r="23" customFormat="false" ht="15" hidden="false" customHeight="true" outlineLevel="0" collapsed="false">
      <c r="A23" s="8" t="s">
        <v>944</v>
      </c>
      <c r="B23" s="8" t="s">
        <v>946</v>
      </c>
      <c r="C23" s="8" t="s">
        <v>212</v>
      </c>
      <c r="D23" s="8" t="s">
        <v>2312</v>
      </c>
    </row>
    <row r="24" customFormat="false" ht="15" hidden="false" customHeight="true" outlineLevel="0" collapsed="false">
      <c r="A24" s="8" t="s">
        <v>948</v>
      </c>
      <c r="B24" s="8" t="s">
        <v>2313</v>
      </c>
      <c r="C24" s="8" t="s">
        <v>212</v>
      </c>
      <c r="D24" s="8" t="s">
        <v>2314</v>
      </c>
    </row>
    <row r="26" customFormat="false" ht="19.5" hidden="false" customHeight="true" outlineLevel="0" collapsed="false">
      <c r="A26" s="93" t="s">
        <v>2315</v>
      </c>
      <c r="B26" s="93"/>
      <c r="C26" s="93"/>
      <c r="D26" s="93"/>
    </row>
    <row r="27" customFormat="false" ht="15" hidden="false" customHeight="true" outlineLevel="0" collapsed="false">
      <c r="A27" s="6" t="s">
        <v>2275</v>
      </c>
      <c r="B27" s="6" t="s">
        <v>2276</v>
      </c>
      <c r="C27" s="6" t="s">
        <v>844</v>
      </c>
      <c r="D27" s="6" t="s">
        <v>1275</v>
      </c>
    </row>
    <row r="28" customFormat="false" ht="15" hidden="false" customHeight="true" outlineLevel="0" collapsed="false">
      <c r="A28" s="8" t="s">
        <v>729</v>
      </c>
      <c r="B28" s="8" t="s">
        <v>730</v>
      </c>
      <c r="C28" s="8" t="s">
        <v>718</v>
      </c>
      <c r="D28" s="8" t="s">
        <v>2316</v>
      </c>
    </row>
    <row r="29" customFormat="false" ht="15" hidden="false" customHeight="true" outlineLevel="0" collapsed="false">
      <c r="A29" s="8" t="s">
        <v>2317</v>
      </c>
      <c r="B29" s="8" t="s">
        <v>2318</v>
      </c>
      <c r="C29" s="8" t="s">
        <v>718</v>
      </c>
      <c r="D29" s="8" t="s">
        <v>2319</v>
      </c>
    </row>
    <row r="30" customFormat="false" ht="15" hidden="false" customHeight="true" outlineLevel="0" collapsed="false">
      <c r="A30" s="8" t="s">
        <v>320</v>
      </c>
      <c r="B30" s="8" t="s">
        <v>746</v>
      </c>
      <c r="C30" s="8" t="s">
        <v>2320</v>
      </c>
      <c r="D30" s="8" t="s">
        <v>2321</v>
      </c>
    </row>
    <row r="31" customFormat="false" ht="15" hidden="false" customHeight="true" outlineLevel="0" collapsed="false">
      <c r="A31" s="8" t="s">
        <v>748</v>
      </c>
      <c r="B31" s="8" t="s">
        <v>2322</v>
      </c>
      <c r="C31" s="8" t="s">
        <v>2320</v>
      </c>
      <c r="D31" s="8" t="s">
        <v>2323</v>
      </c>
    </row>
    <row r="32" customFormat="false" ht="23.25" hidden="false" customHeight="true" outlineLevel="0" collapsed="false">
      <c r="A32" s="8" t="s">
        <v>2324</v>
      </c>
      <c r="B32" s="8" t="s">
        <v>2325</v>
      </c>
      <c r="C32" s="8" t="s">
        <v>2320</v>
      </c>
      <c r="D32" s="8" t="s">
        <v>2326</v>
      </c>
    </row>
    <row r="33" customFormat="false" ht="23.25" hidden="false" customHeight="true" outlineLevel="0" collapsed="false">
      <c r="A33" s="8" t="s">
        <v>757</v>
      </c>
      <c r="B33" s="8" t="s">
        <v>2327</v>
      </c>
      <c r="C33" s="8" t="s">
        <v>2320</v>
      </c>
      <c r="D33" s="8" t="s">
        <v>2328</v>
      </c>
    </row>
    <row r="34" customFormat="false" ht="15" hidden="false" customHeight="true" outlineLevel="0" collapsed="false">
      <c r="A34" s="8" t="s">
        <v>760</v>
      </c>
      <c r="B34" s="8" t="s">
        <v>761</v>
      </c>
      <c r="C34" s="8" t="s">
        <v>2320</v>
      </c>
      <c r="D34" s="8" t="s">
        <v>2329</v>
      </c>
    </row>
    <row r="35" customFormat="false" ht="23.25" hidden="false" customHeight="true" outlineLevel="0" collapsed="false">
      <c r="A35" s="8" t="s">
        <v>341</v>
      </c>
      <c r="B35" s="8" t="s">
        <v>2330</v>
      </c>
      <c r="C35" s="8" t="s">
        <v>2320</v>
      </c>
      <c r="D35" s="8" t="s">
        <v>2331</v>
      </c>
    </row>
    <row r="36" customFormat="false" ht="15" hidden="false" customHeight="true" outlineLevel="0" collapsed="false">
      <c r="A36" s="8" t="s">
        <v>769</v>
      </c>
      <c r="B36" s="8" t="s">
        <v>770</v>
      </c>
      <c r="C36" s="8" t="s">
        <v>2320</v>
      </c>
      <c r="D36" s="8" t="s">
        <v>2332</v>
      </c>
    </row>
    <row r="37" customFormat="false" ht="15" hidden="false" customHeight="true" outlineLevel="0" collapsed="false">
      <c r="A37" s="8" t="s">
        <v>2333</v>
      </c>
      <c r="B37" s="8" t="s">
        <v>2334</v>
      </c>
      <c r="C37" s="8" t="s">
        <v>2335</v>
      </c>
      <c r="D37" s="8" t="s">
        <v>2336</v>
      </c>
    </row>
    <row r="38" customFormat="false" ht="15" hidden="false" customHeight="true" outlineLevel="0" collapsed="false">
      <c r="A38" s="8" t="s">
        <v>785</v>
      </c>
      <c r="B38" s="8" t="s">
        <v>2337</v>
      </c>
      <c r="C38" s="8" t="s">
        <v>2338</v>
      </c>
      <c r="D38" s="8" t="s">
        <v>2339</v>
      </c>
    </row>
    <row r="39" customFormat="false" ht="23.25" hidden="false" customHeight="true" outlineLevel="0" collapsed="false">
      <c r="A39" s="8" t="s">
        <v>789</v>
      </c>
      <c r="B39" s="8" t="s">
        <v>790</v>
      </c>
      <c r="C39" s="8" t="s">
        <v>2338</v>
      </c>
      <c r="D39" s="8" t="s">
        <v>2340</v>
      </c>
    </row>
    <row r="40" customFormat="false" ht="15" hidden="false" customHeight="true" outlineLevel="0" collapsed="false">
      <c r="A40" s="8" t="s">
        <v>2341</v>
      </c>
      <c r="B40" s="8" t="s">
        <v>2342</v>
      </c>
      <c r="C40" s="8" t="s">
        <v>2320</v>
      </c>
      <c r="D40" s="8" t="s">
        <v>2343</v>
      </c>
    </row>
    <row r="41" customFormat="false" ht="15" hidden="false" customHeight="true" outlineLevel="0" collapsed="false">
      <c r="A41" s="8" t="s">
        <v>2344</v>
      </c>
      <c r="B41" s="8" t="s">
        <v>2345</v>
      </c>
      <c r="C41" s="8" t="s">
        <v>2320</v>
      </c>
      <c r="D41" s="8" t="s">
        <v>2346</v>
      </c>
    </row>
    <row r="43" customFormat="false" ht="19.5" hidden="false" customHeight="true" outlineLevel="0" collapsed="false">
      <c r="A43" s="93" t="s">
        <v>2347</v>
      </c>
      <c r="B43" s="93"/>
      <c r="C43" s="93"/>
      <c r="D43" s="93"/>
    </row>
    <row r="44" customFormat="false" ht="15" hidden="false" customHeight="true" outlineLevel="0" collapsed="false">
      <c r="A44" s="6" t="s">
        <v>954</v>
      </c>
      <c r="B44" s="6" t="s">
        <v>199</v>
      </c>
      <c r="C44" s="6" t="s">
        <v>2142</v>
      </c>
      <c r="D44" s="6" t="s">
        <v>1275</v>
      </c>
    </row>
    <row r="45" customFormat="false" ht="34.5" hidden="false" customHeight="true" outlineLevel="0" collapsed="false">
      <c r="A45" s="8" t="s">
        <v>477</v>
      </c>
      <c r="B45" s="8" t="s">
        <v>2348</v>
      </c>
      <c r="C45" s="8" t="s">
        <v>2349</v>
      </c>
      <c r="D45" s="8" t="s">
        <v>2350</v>
      </c>
    </row>
    <row r="46" customFormat="false" ht="34.5" hidden="false" customHeight="true" outlineLevel="0" collapsed="false">
      <c r="A46" s="8" t="s">
        <v>582</v>
      </c>
      <c r="B46" s="8" t="s">
        <v>2351</v>
      </c>
      <c r="C46" s="8" t="s">
        <v>2352</v>
      </c>
      <c r="D46" s="8" t="s">
        <v>2353</v>
      </c>
    </row>
    <row r="47" customFormat="false" ht="34.5" hidden="false" customHeight="true" outlineLevel="0" collapsed="false">
      <c r="A47" s="8" t="s">
        <v>625</v>
      </c>
      <c r="B47" s="8" t="s">
        <v>2354</v>
      </c>
      <c r="C47" s="8" t="s">
        <v>2355</v>
      </c>
      <c r="D47" s="8" t="s">
        <v>2356</v>
      </c>
    </row>
    <row r="48" customFormat="false" ht="34.5" hidden="false" customHeight="true" outlineLevel="0" collapsed="false">
      <c r="A48" s="8" t="s">
        <v>685</v>
      </c>
      <c r="B48" s="8" t="s">
        <v>2357</v>
      </c>
      <c r="C48" s="8" t="s">
        <v>2358</v>
      </c>
      <c r="D48" s="8" t="s">
        <v>2359</v>
      </c>
    </row>
    <row r="50" customFormat="false" ht="19.5" hidden="false" customHeight="true" outlineLevel="0" collapsed="false">
      <c r="A50" s="93" t="s">
        <v>2360</v>
      </c>
      <c r="B50" s="93"/>
      <c r="C50" s="93"/>
      <c r="D50" s="93"/>
    </row>
    <row r="51" customFormat="false" ht="15" hidden="false" customHeight="true" outlineLevel="0" collapsed="false">
      <c r="A51" s="6" t="s">
        <v>1273</v>
      </c>
      <c r="B51" s="6" t="s">
        <v>2039</v>
      </c>
      <c r="C51" s="6" t="s">
        <v>2361</v>
      </c>
      <c r="D51" s="6" t="s">
        <v>1275</v>
      </c>
    </row>
    <row r="52" customFormat="false" ht="23.25" hidden="false" customHeight="true" outlineLevel="0" collapsed="false">
      <c r="A52" s="8" t="s">
        <v>1276</v>
      </c>
      <c r="B52" s="8" t="s">
        <v>2362</v>
      </c>
      <c r="C52" s="8" t="s">
        <v>2363</v>
      </c>
      <c r="D52" s="8" t="s">
        <v>2364</v>
      </c>
    </row>
    <row r="53" customFormat="false" ht="23.25" hidden="false" customHeight="true" outlineLevel="0" collapsed="false">
      <c r="A53" s="8" t="s">
        <v>1279</v>
      </c>
      <c r="B53" s="8" t="s">
        <v>2365</v>
      </c>
      <c r="C53" s="8" t="s">
        <v>2366</v>
      </c>
      <c r="D53" s="8" t="s">
        <v>2367</v>
      </c>
    </row>
    <row r="54" customFormat="false" ht="23.25" hidden="false" customHeight="true" outlineLevel="0" collapsed="false">
      <c r="A54" s="8" t="s">
        <v>455</v>
      </c>
      <c r="B54" s="8" t="s">
        <v>2368</v>
      </c>
      <c r="C54" s="8" t="s">
        <v>2369</v>
      </c>
      <c r="D54" s="8" t="s">
        <v>2370</v>
      </c>
    </row>
    <row r="55" customFormat="false" ht="23.25" hidden="false" customHeight="true" outlineLevel="0" collapsed="false">
      <c r="A55" s="8" t="s">
        <v>301</v>
      </c>
      <c r="B55" s="8" t="s">
        <v>2371</v>
      </c>
      <c r="C55" s="8" t="s">
        <v>2372</v>
      </c>
      <c r="D55" s="8" t="s">
        <v>2373</v>
      </c>
    </row>
    <row r="56" customFormat="false" ht="23.25" hidden="false" customHeight="true" outlineLevel="0" collapsed="false">
      <c r="A56" s="8" t="s">
        <v>373</v>
      </c>
      <c r="B56" s="8" t="s">
        <v>2374</v>
      </c>
      <c r="C56" s="8" t="s">
        <v>2375</v>
      </c>
      <c r="D56" s="8" t="s">
        <v>2376</v>
      </c>
    </row>
    <row r="57" customFormat="false" ht="23.25" hidden="false" customHeight="true" outlineLevel="0" collapsed="false">
      <c r="A57" s="8" t="s">
        <v>1288</v>
      </c>
      <c r="B57" s="8" t="s">
        <v>2377</v>
      </c>
      <c r="C57" s="8" t="s">
        <v>2378</v>
      </c>
      <c r="D57" s="8" t="s">
        <v>2379</v>
      </c>
    </row>
    <row r="58" customFormat="false" ht="23.25" hidden="false" customHeight="true" outlineLevel="0" collapsed="false">
      <c r="A58" s="8" t="s">
        <v>328</v>
      </c>
      <c r="B58" s="8" t="s">
        <v>2380</v>
      </c>
      <c r="C58" s="8" t="s">
        <v>2381</v>
      </c>
      <c r="D58" s="8" t="s">
        <v>2382</v>
      </c>
    </row>
    <row r="59" customFormat="false" ht="23.25" hidden="false" customHeight="true" outlineLevel="0" collapsed="false">
      <c r="A59" s="8" t="s">
        <v>354</v>
      </c>
      <c r="B59" s="8" t="s">
        <v>2383</v>
      </c>
      <c r="C59" s="8" t="s">
        <v>2384</v>
      </c>
      <c r="D59" s="8" t="s">
        <v>2385</v>
      </c>
    </row>
    <row r="60" customFormat="false" ht="23.25" hidden="false" customHeight="true" outlineLevel="0" collapsed="false">
      <c r="A60" s="8" t="s">
        <v>1295</v>
      </c>
      <c r="B60" s="8" t="s">
        <v>2386</v>
      </c>
      <c r="C60" s="8" t="s">
        <v>2387</v>
      </c>
      <c r="D60" s="8" t="s">
        <v>2388</v>
      </c>
    </row>
    <row r="62" customFormat="false" ht="19.5" hidden="false" customHeight="true" outlineLevel="0" collapsed="false">
      <c r="A62" s="93" t="s">
        <v>2389</v>
      </c>
      <c r="B62" s="93"/>
      <c r="C62" s="93"/>
      <c r="D62" s="93"/>
    </row>
    <row r="63" customFormat="false" ht="15" hidden="false" customHeight="true" outlineLevel="0" collapsed="false">
      <c r="A63" s="6" t="s">
        <v>2390</v>
      </c>
      <c r="B63" s="6" t="s">
        <v>2</v>
      </c>
      <c r="C63" s="6" t="s">
        <v>2391</v>
      </c>
      <c r="D63" s="6" t="s">
        <v>1275</v>
      </c>
    </row>
    <row r="64" customFormat="false" ht="23.25" hidden="false" customHeight="true" outlineLevel="0" collapsed="false">
      <c r="A64" s="8" t="s">
        <v>2392</v>
      </c>
      <c r="B64" s="8" t="s">
        <v>2393</v>
      </c>
      <c r="C64" s="8" t="s">
        <v>2394</v>
      </c>
      <c r="D64" s="8" t="s">
        <v>2395</v>
      </c>
    </row>
    <row r="65" customFormat="false" ht="23.25" hidden="false" customHeight="true" outlineLevel="0" collapsed="false">
      <c r="A65" s="8" t="s">
        <v>1802</v>
      </c>
      <c r="B65" s="8" t="s">
        <v>2396</v>
      </c>
      <c r="C65" s="8" t="s">
        <v>2397</v>
      </c>
      <c r="D65" s="8" t="s">
        <v>2398</v>
      </c>
    </row>
    <row r="66" customFormat="false" ht="23.25" hidden="false" customHeight="true" outlineLevel="0" collapsed="false">
      <c r="A66" s="8" t="s">
        <v>2399</v>
      </c>
      <c r="B66" s="8" t="s">
        <v>2400</v>
      </c>
      <c r="C66" s="8" t="s">
        <v>2401</v>
      </c>
      <c r="D66" s="8" t="s">
        <v>2402</v>
      </c>
    </row>
    <row r="67" customFormat="false" ht="23.25" hidden="false" customHeight="true" outlineLevel="0" collapsed="false">
      <c r="A67" s="8" t="s">
        <v>2403</v>
      </c>
      <c r="B67" s="8" t="s">
        <v>2404</v>
      </c>
      <c r="C67" s="8" t="s">
        <v>2405</v>
      </c>
      <c r="D67" s="8" t="s">
        <v>2406</v>
      </c>
    </row>
    <row r="69" customFormat="false" ht="19.5" hidden="false" customHeight="true" outlineLevel="0" collapsed="false">
      <c r="A69" s="93" t="s">
        <v>2407</v>
      </c>
      <c r="B69" s="93"/>
      <c r="C69" s="93"/>
      <c r="D69" s="93"/>
    </row>
    <row r="70" customFormat="false" ht="15" hidden="false" customHeight="true" outlineLevel="0" collapsed="false">
      <c r="A70" s="6" t="s">
        <v>2408</v>
      </c>
      <c r="B70" s="6" t="s">
        <v>2409</v>
      </c>
      <c r="C70" s="6" t="s">
        <v>2410</v>
      </c>
      <c r="D70" s="6" t="s">
        <v>1275</v>
      </c>
    </row>
    <row r="71" customFormat="false" ht="34.5" hidden="false" customHeight="true" outlineLevel="0" collapsed="false">
      <c r="A71" s="8" t="s">
        <v>2411</v>
      </c>
      <c r="B71" s="8" t="s">
        <v>2412</v>
      </c>
      <c r="C71" s="8" t="s">
        <v>2413</v>
      </c>
      <c r="D71" s="8" t="s">
        <v>2414</v>
      </c>
    </row>
    <row r="72" customFormat="false" ht="34.5" hidden="false" customHeight="true" outlineLevel="0" collapsed="false">
      <c r="A72" s="8" t="s">
        <v>1462</v>
      </c>
      <c r="B72" s="8" t="s">
        <v>2415</v>
      </c>
      <c r="C72" s="8" t="s">
        <v>2416</v>
      </c>
      <c r="D72" s="8" t="s">
        <v>2417</v>
      </c>
    </row>
    <row r="73" customFormat="false" ht="23.25" hidden="false" customHeight="true" outlineLevel="0" collapsed="false">
      <c r="A73" s="8" t="s">
        <v>1474</v>
      </c>
      <c r="B73" s="8" t="s">
        <v>2418</v>
      </c>
      <c r="C73" s="8" t="s">
        <v>2419</v>
      </c>
      <c r="D73" s="8" t="s">
        <v>2420</v>
      </c>
    </row>
    <row r="74" customFormat="false" ht="23.25" hidden="false" customHeight="true" outlineLevel="0" collapsed="false">
      <c r="A74" s="8" t="s">
        <v>2421</v>
      </c>
      <c r="B74" s="8" t="s">
        <v>2422</v>
      </c>
      <c r="C74" s="8" t="s">
        <v>2423</v>
      </c>
      <c r="D74" s="8" t="s">
        <v>2424</v>
      </c>
    </row>
    <row r="75" customFormat="false" ht="23.25" hidden="false" customHeight="true" outlineLevel="0" collapsed="false">
      <c r="A75" s="8" t="s">
        <v>2425</v>
      </c>
      <c r="B75" s="8" t="s">
        <v>2426</v>
      </c>
      <c r="C75" s="8" t="s">
        <v>2427</v>
      </c>
      <c r="D75" s="8" t="s">
        <v>2428</v>
      </c>
    </row>
  </sheetData>
  <mergeCells count="8">
    <mergeCell ref="A1:D1"/>
    <mergeCell ref="A3:D3"/>
    <mergeCell ref="A10:D10"/>
    <mergeCell ref="A26:D26"/>
    <mergeCell ref="A43:D43"/>
    <mergeCell ref="A50:D50"/>
    <mergeCell ref="A62:D62"/>
    <mergeCell ref="A69:D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2026-07-07T01:49:46Z</dcterms:created>
  <dc:creator>openpyxl</dc:creator>
  <dc:description/>
  <dc:language>en-US</dc:language>
  <cp:lastModifiedBy/>
  <dcterms:modified xsi:type="dcterms:W3CDTF">2026-07-07T11:24:01Z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