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 Tasks" sheetId="1" state="visible" r:id="rId3"/>
    <sheet name="Progress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<sst xmlns="http://schemas.openxmlformats.org/spreadsheetml/2006/main" count="123" uniqueCount="64">
  <si>
    <t xml:space="preserve">Phase</t>
  </si>
  <si>
    <t xml:space="preserve">Task</t>
  </si>
  <si>
    <t xml:space="preserve">Owner</t>
  </si>
  <si>
    <t xml:space="preserve">Target Start</t>
  </si>
  <si>
    <t xml:space="preserve">Target End</t>
  </si>
  <si>
    <t xml:space="preserve">Status</t>
  </si>
  <si>
    <t xml:space="preserve">% Weight</t>
  </si>
  <si>
    <t xml:space="preserve">Dependency / Notes</t>
  </si>
  <si>
    <t xml:space="preserve">Phase 1 — Foundation</t>
  </si>
  <si>
    <t xml:space="preserve">Secure executive sponsor and confirm Committee membership</t>
  </si>
  <si>
    <t xml:space="preserve">AI Governance Lead</t>
  </si>
  <si>
    <t xml:space="preserve">Week 1</t>
  </si>
  <si>
    <t xml:space="preserve">Week 2</t>
  </si>
  <si>
    <t xml:space="preserve">Complete</t>
  </si>
  <si>
    <t xml:space="preserve">Draft and approve AI Governance Framework</t>
  </si>
  <si>
    <t xml:space="preserve">Week 4</t>
  </si>
  <si>
    <t xml:space="preserve">Draft and approve AI Policy</t>
  </si>
  <si>
    <t xml:space="preserve">Week 5</t>
  </si>
  <si>
    <t xml:space="preserve">In Progress</t>
  </si>
  <si>
    <t xml:space="preserve">Depends on Framework approval</t>
  </si>
  <si>
    <t xml:space="preserve">Stand up AI Governance Office</t>
  </si>
  <si>
    <t xml:space="preserve">Executive Sponsor</t>
  </si>
  <si>
    <t xml:space="preserve">Week 6</t>
  </si>
  <si>
    <t xml:space="preserve">Open intake channel and communicate Policy org-wide</t>
  </si>
  <si>
    <t xml:space="preserve">Not Started</t>
  </si>
  <si>
    <t xml:space="preserve">Phase 2 — Discovery &amp; Classification</t>
  </si>
  <si>
    <t xml:space="preserve">Run structured discovery (procurement, IT asset register, vendor review)</t>
  </si>
  <si>
    <t xml:space="preserve">AI Governance Office</t>
  </si>
  <si>
    <t xml:space="preserve">Week 9</t>
  </si>
  <si>
    <t xml:space="preserve">Business-unit self-declaration survey for shadow AI</t>
  </si>
  <si>
    <t xml:space="preserve">Complete Use Case Assessment Forms for discovered systems</t>
  </si>
  <si>
    <t xml:space="preserve">Business Owners</t>
  </si>
  <si>
    <t xml:space="preserve">Week 8</t>
  </si>
  <si>
    <t xml:space="preserve">Week 11</t>
  </si>
  <si>
    <t xml:space="preserve">Depends on discovery</t>
  </si>
  <si>
    <t xml:space="preserve">Apply risk classification model; build high-risk backlog</t>
  </si>
  <si>
    <t xml:space="preserve">Week 10</t>
  </si>
  <si>
    <t xml:space="preserve">Week 12</t>
  </si>
  <si>
    <t xml:space="preserve">Phase 3 — Controls Build-Out</t>
  </si>
  <si>
    <t xml:space="preserve">Develop conformity documentation templates</t>
  </si>
  <si>
    <t xml:space="preserve">Week 14</t>
  </si>
  <si>
    <t xml:space="preserve">Stand up incident response &amp; escalation procedure</t>
  </si>
  <si>
    <t xml:space="preserve">AI Governance Office + Legal</t>
  </si>
  <si>
    <t xml:space="preserve">Week 16</t>
  </si>
  <si>
    <t xml:space="preserve">Define human oversight control points per high-risk system</t>
  </si>
  <si>
    <t xml:space="preserve">Technical Owners</t>
  </si>
  <si>
    <t xml:space="preserve">Week 13</t>
  </si>
  <si>
    <t xml:space="preserve">Week 18</t>
  </si>
  <si>
    <t xml:space="preserve">Depends on backlog</t>
  </si>
  <si>
    <t xml:space="preserve">Deliver role-based training to owners and Committee</t>
  </si>
  <si>
    <t xml:space="preserve">Week 20</t>
  </si>
  <si>
    <t xml:space="preserve">Phase 4 — Operationalise &amp; Mature</t>
  </si>
  <si>
    <t xml:space="preserve">Launch quarterly governance review cycle</t>
  </si>
  <si>
    <t xml:space="preserve">Run baseline Maturity Assessment</t>
  </si>
  <si>
    <t xml:space="preserve">Week 22</t>
  </si>
  <si>
    <t xml:space="preserve">Establish Committee quarterly reporting package</t>
  </si>
  <si>
    <t xml:space="preserve">Week 24</t>
  </si>
  <si>
    <t xml:space="preserve">Set 6–12 month re-assessment cycle and refresh roadmap</t>
  </si>
  <si>
    <t xml:space="preserve">AI Governance Committee</t>
  </si>
  <si>
    <t xml:space="preserve">Week 26</t>
  </si>
  <si>
    <t xml:space="preserve">Implementation Progress</t>
  </si>
  <si>
    <t xml:space="preserve">Overall Weighted Progress (%)</t>
  </si>
  <si>
    <t xml:space="preserve">Tasks</t>
  </si>
  <si>
    <t xml:space="preserve">% Complete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</si>
</sst>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CE4E4"/>
        </patternFill>
      </fill>
    </dxf>
    <dxf>
      <fill>
        <patternFill>
          <bgColor rgb="FFFFF3CD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2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n">
        <v>5</v>
      </c>
      <c r="H2" s="2"/>
    </row>
    <row r="3" customFormat="false" ht="15" hidden="false" customHeight="false" outlineLevel="0" collapsed="false">
      <c r="A3" s="3" t="s">
        <v>8</v>
      </c>
      <c r="B3" s="3" t="s">
        <v>14</v>
      </c>
      <c r="C3" s="3" t="s">
        <v>10</v>
      </c>
      <c r="D3" s="3" t="s">
        <v>11</v>
      </c>
      <c r="E3" s="3" t="s">
        <v>15</v>
      </c>
      <c r="F3" s="3" t="s">
        <v>13</v>
      </c>
      <c r="G3" s="3" t="n">
        <v>5</v>
      </c>
      <c r="H3" s="3"/>
    </row>
    <row r="4" customFormat="false" ht="15" hidden="false" customHeight="false" outlineLevel="0" collapsed="false">
      <c r="A4" s="2" t="s">
        <v>8</v>
      </c>
      <c r="B4" s="2" t="s">
        <v>16</v>
      </c>
      <c r="C4" s="2" t="s">
        <v>10</v>
      </c>
      <c r="D4" s="2" t="s">
        <v>12</v>
      </c>
      <c r="E4" s="2" t="s">
        <v>17</v>
      </c>
      <c r="F4" s="2" t="s">
        <v>18</v>
      </c>
      <c r="G4" s="2" t="n">
        <v>5</v>
      </c>
      <c r="H4" s="2" t="s">
        <v>19</v>
      </c>
    </row>
    <row r="5" customFormat="false" ht="15" hidden="false" customHeight="false" outlineLevel="0" collapsed="false">
      <c r="A5" s="3" t="s">
        <v>8</v>
      </c>
      <c r="B5" s="3" t="s">
        <v>20</v>
      </c>
      <c r="C5" s="3" t="s">
        <v>21</v>
      </c>
      <c r="D5" s="3" t="s">
        <v>12</v>
      </c>
      <c r="E5" s="3" t="s">
        <v>22</v>
      </c>
      <c r="F5" s="3" t="s">
        <v>18</v>
      </c>
      <c r="G5" s="3" t="n">
        <v>5</v>
      </c>
      <c r="H5" s="3"/>
    </row>
    <row r="6" customFormat="false" ht="15" hidden="false" customHeight="false" outlineLevel="0" collapsed="false">
      <c r="A6" s="2" t="s">
        <v>8</v>
      </c>
      <c r="B6" s="2" t="s">
        <v>23</v>
      </c>
      <c r="C6" s="2" t="s">
        <v>10</v>
      </c>
      <c r="D6" s="2" t="s">
        <v>17</v>
      </c>
      <c r="E6" s="2" t="s">
        <v>22</v>
      </c>
      <c r="F6" s="2" t="s">
        <v>24</v>
      </c>
      <c r="G6" s="2" t="n">
        <v>5</v>
      </c>
      <c r="H6" s="2"/>
    </row>
    <row r="7" customFormat="false" ht="23.85" hidden="false" customHeight="false" outlineLevel="0" collapsed="false">
      <c r="A7" s="3" t="s">
        <v>25</v>
      </c>
      <c r="B7" s="3" t="s">
        <v>26</v>
      </c>
      <c r="C7" s="3" t="s">
        <v>27</v>
      </c>
      <c r="D7" s="3" t="s">
        <v>17</v>
      </c>
      <c r="E7" s="3" t="s">
        <v>28</v>
      </c>
      <c r="F7" s="3" t="s">
        <v>24</v>
      </c>
      <c r="G7" s="3" t="n">
        <v>8</v>
      </c>
      <c r="H7" s="3"/>
    </row>
    <row r="8" customFormat="false" ht="23.85" hidden="false" customHeight="false" outlineLevel="0" collapsed="false">
      <c r="A8" s="2" t="s">
        <v>25</v>
      </c>
      <c r="B8" s="2" t="s">
        <v>29</v>
      </c>
      <c r="C8" s="2" t="s">
        <v>27</v>
      </c>
      <c r="D8" s="2" t="s">
        <v>22</v>
      </c>
      <c r="E8" s="2" t="s">
        <v>28</v>
      </c>
      <c r="F8" s="2" t="s">
        <v>24</v>
      </c>
      <c r="G8" s="2" t="n">
        <v>6</v>
      </c>
      <c r="H8" s="2"/>
    </row>
    <row r="9" customFormat="false" ht="23.85" hidden="false" customHeight="false" outlineLevel="0" collapsed="false">
      <c r="A9" s="3" t="s">
        <v>25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24</v>
      </c>
      <c r="G9" s="3" t="n">
        <v>8</v>
      </c>
      <c r="H9" s="3" t="s">
        <v>34</v>
      </c>
    </row>
    <row r="10" customFormat="false" ht="23.85" hidden="false" customHeight="false" outlineLevel="0" collapsed="false">
      <c r="A10" s="2" t="s">
        <v>25</v>
      </c>
      <c r="B10" s="2" t="s">
        <v>35</v>
      </c>
      <c r="C10" s="2" t="s">
        <v>27</v>
      </c>
      <c r="D10" s="2" t="s">
        <v>36</v>
      </c>
      <c r="E10" s="2" t="s">
        <v>37</v>
      </c>
      <c r="F10" s="2" t="s">
        <v>24</v>
      </c>
      <c r="G10" s="2" t="n">
        <v>6</v>
      </c>
      <c r="H10" s="2"/>
    </row>
    <row r="11" customFormat="false" ht="15" hidden="false" customHeight="false" outlineLevel="0" collapsed="false">
      <c r="A11" s="3" t="s">
        <v>38</v>
      </c>
      <c r="B11" s="3" t="s">
        <v>39</v>
      </c>
      <c r="C11" s="3" t="s">
        <v>27</v>
      </c>
      <c r="D11" s="3" t="s">
        <v>36</v>
      </c>
      <c r="E11" s="3" t="s">
        <v>40</v>
      </c>
      <c r="F11" s="3" t="s">
        <v>24</v>
      </c>
      <c r="G11" s="3" t="n">
        <v>8</v>
      </c>
      <c r="H11" s="3"/>
    </row>
    <row r="12" customFormat="false" ht="15" hidden="false" customHeight="false" outlineLevel="0" collapsed="false">
      <c r="A12" s="2" t="s">
        <v>38</v>
      </c>
      <c r="B12" s="2" t="s">
        <v>41</v>
      </c>
      <c r="C12" s="2" t="s">
        <v>42</v>
      </c>
      <c r="D12" s="2" t="s">
        <v>37</v>
      </c>
      <c r="E12" s="2" t="s">
        <v>43</v>
      </c>
      <c r="F12" s="2" t="s">
        <v>24</v>
      </c>
      <c r="G12" s="2" t="n">
        <v>8</v>
      </c>
      <c r="H12" s="2"/>
    </row>
    <row r="13" customFormat="false" ht="23.85" hidden="false" customHeight="false" outlineLevel="0" collapsed="false">
      <c r="A13" s="3" t="s">
        <v>38</v>
      </c>
      <c r="B13" s="3" t="s">
        <v>44</v>
      </c>
      <c r="C13" s="3" t="s">
        <v>45</v>
      </c>
      <c r="D13" s="3" t="s">
        <v>46</v>
      </c>
      <c r="E13" s="3" t="s">
        <v>47</v>
      </c>
      <c r="F13" s="3" t="s">
        <v>24</v>
      </c>
      <c r="G13" s="3" t="n">
        <v>6</v>
      </c>
      <c r="H13" s="3" t="s">
        <v>48</v>
      </c>
    </row>
    <row r="14" customFormat="false" ht="15" hidden="false" customHeight="false" outlineLevel="0" collapsed="false">
      <c r="A14" s="2" t="s">
        <v>38</v>
      </c>
      <c r="B14" s="2" t="s">
        <v>49</v>
      </c>
      <c r="C14" s="2" t="s">
        <v>27</v>
      </c>
      <c r="D14" s="2" t="s">
        <v>43</v>
      </c>
      <c r="E14" s="2" t="s">
        <v>50</v>
      </c>
      <c r="F14" s="2" t="s">
        <v>24</v>
      </c>
      <c r="G14" s="2" t="n">
        <v>5</v>
      </c>
      <c r="H14" s="2"/>
    </row>
    <row r="15" customFormat="false" ht="23.85" hidden="false" customHeight="false" outlineLevel="0" collapsed="false">
      <c r="A15" s="3" t="s">
        <v>51</v>
      </c>
      <c r="B15" s="3" t="s">
        <v>52</v>
      </c>
      <c r="C15" s="3" t="s">
        <v>27</v>
      </c>
      <c r="D15" s="3" t="s">
        <v>47</v>
      </c>
      <c r="E15" s="3" t="s">
        <v>50</v>
      </c>
      <c r="F15" s="3" t="s">
        <v>24</v>
      </c>
      <c r="G15" s="3" t="n">
        <v>6</v>
      </c>
      <c r="H15" s="3"/>
    </row>
    <row r="16" customFormat="false" ht="23.85" hidden="false" customHeight="false" outlineLevel="0" collapsed="false">
      <c r="A16" s="2" t="s">
        <v>51</v>
      </c>
      <c r="B16" s="2" t="s">
        <v>53</v>
      </c>
      <c r="C16" s="2" t="s">
        <v>27</v>
      </c>
      <c r="D16" s="2" t="s">
        <v>50</v>
      </c>
      <c r="E16" s="2" t="s">
        <v>54</v>
      </c>
      <c r="F16" s="2" t="s">
        <v>24</v>
      </c>
      <c r="G16" s="2" t="n">
        <v>6</v>
      </c>
      <c r="H16" s="2"/>
    </row>
    <row r="17" customFormat="false" ht="23.85" hidden="false" customHeight="false" outlineLevel="0" collapsed="false">
      <c r="A17" s="3" t="s">
        <v>51</v>
      </c>
      <c r="B17" s="3" t="s">
        <v>55</v>
      </c>
      <c r="C17" s="3" t="s">
        <v>10</v>
      </c>
      <c r="D17" s="3" t="s">
        <v>54</v>
      </c>
      <c r="E17" s="3" t="s">
        <v>56</v>
      </c>
      <c r="F17" s="3" t="s">
        <v>24</v>
      </c>
      <c r="G17" s="3" t="n">
        <v>5</v>
      </c>
      <c r="H17" s="3"/>
    </row>
    <row r="18" customFormat="false" ht="23.85" hidden="false" customHeight="false" outlineLevel="0" collapsed="false">
      <c r="A18" s="2" t="s">
        <v>51</v>
      </c>
      <c r="B18" s="2" t="s">
        <v>57</v>
      </c>
      <c r="C18" s="2" t="s">
        <v>58</v>
      </c>
      <c r="D18" s="2" t="s">
        <v>56</v>
      </c>
      <c r="E18" s="2" t="s">
        <v>59</v>
      </c>
      <c r="F18" s="2" t="s">
        <v>24</v>
      </c>
      <c r="G18" s="2" t="n">
        <v>5</v>
      </c>
      <c r="H18" s="2"/>
    </row>
  </sheetData>
  <conditionalFormatting sqref="F2:F18">
    <cfRule type="cellIs" priority="2" operator="equal" aboveAverage="0" equalAverage="0" bottom="0" percent="0" rank="0" text="" dxfId="0">
      <formula>"Blocked"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"Complete"</formula>
    </cfRule>
  </conditionalFormatting>
  <dataValidations count="1">
    <dataValidation allowBlank="true" errorStyle="stop" operator="between" showDropDown="false" showErrorMessage="false" showInputMessage="false" sqref="F2:F18" type="list">
      <formula1>"Not Started,In Progress,Blocked,Complete"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4" t="s">
        <v>60</v>
      </c>
    </row>
    <row r="3" customFormat="false" ht="15" hidden="false" customHeight="false" outlineLevel="0" collapsed="false">
      <c r="A3" s="5" t="s">
        <v>61</v>
      </c>
      <c r="B3" s="6" t="n">
        <f aca="false">SUMPRODUCT(('Roadmap Tasks'!F2:F18="Complete")*'Roadmap Tasks'!G2:G18)/SUM('Roadmap Tasks'!G2:G18)</f>
        <v>0.0980392156862745</v>
      </c>
    </row>
    <row r="5" customFormat="false" ht="15" hidden="false" customHeight="false" outlineLevel="0" collapsed="false">
      <c r="A5" s="7" t="s">
        <v>0</v>
      </c>
      <c r="B5" s="7" t="s">
        <v>62</v>
      </c>
      <c r="C5" s="7" t="s">
        <v>13</v>
      </c>
      <c r="D5" s="7" t="s">
        <v>63</v>
      </c>
    </row>
    <row r="6" customFormat="false" ht="15" hidden="false" customHeight="false" outlineLevel="0" collapsed="false">
      <c r="A6" s="8" t="s">
        <v>8</v>
      </c>
      <c r="B6" s="8" t="n">
        <f aca="false">COUNTIF('Roadmap Tasks'!A:A,A6)</f>
        <v>5</v>
      </c>
      <c r="C6" s="8" t="n">
        <f aca="false">COUNTIFS('Roadmap Tasks'!A:A,A6,'Roadmap Tasks'!F:F,"Complete")</f>
        <v>2</v>
      </c>
      <c r="D6" s="9" t="n">
        <f aca="false">IF(B6=0,0,C6/B6)</f>
        <v>0.4</v>
      </c>
    </row>
    <row r="7" customFormat="false" ht="15" hidden="false" customHeight="false" outlineLevel="0" collapsed="false">
      <c r="A7" s="8" t="s">
        <v>25</v>
      </c>
      <c r="B7" s="8" t="n">
        <f aca="false">COUNTIF('Roadmap Tasks'!A:A,A7)</f>
        <v>4</v>
      </c>
      <c r="C7" s="8" t="n">
        <f aca="false">COUNTIFS('Roadmap Tasks'!A:A,A7,'Roadmap Tasks'!F:F,"Complete")</f>
        <v>0</v>
      </c>
      <c r="D7" s="9" t="n">
        <f aca="false">IF(B7=0,0,C7/B7)</f>
        <v>0</v>
      </c>
    </row>
    <row r="8" customFormat="false" ht="15" hidden="false" customHeight="false" outlineLevel="0" collapsed="false">
      <c r="A8" s="8" t="s">
        <v>38</v>
      </c>
      <c r="B8" s="8" t="n">
        <f aca="false">COUNTIF('Roadmap Tasks'!A:A,A8)</f>
        <v>4</v>
      </c>
      <c r="C8" s="8" t="n">
        <f aca="false">COUNTIFS('Roadmap Tasks'!A:A,A8,'Roadmap Tasks'!F:F,"Complete")</f>
        <v>0</v>
      </c>
      <c r="D8" s="9" t="n">
        <f aca="false">IF(B8=0,0,C8/B8)</f>
        <v>0</v>
      </c>
    </row>
    <row r="9" customFormat="false" ht="15" hidden="false" customHeight="false" outlineLevel="0" collapsed="false">
      <c r="A9" s="8" t="s">
        <v>51</v>
      </c>
      <c r="B9" s="8" t="n">
        <f aca="false">COUNTIF('Roadmap Tasks'!A:A,A9)</f>
        <v>4</v>
      </c>
      <c r="C9" s="8" t="n">
        <f aca="false">COUNTIFS('Roadmap Tasks'!A:A,A9,'Roadmap Tasks'!F:F,"Complete")</f>
        <v>0</v>
      </c>
      <c r="D9" s="9" t="n">
        <f aca="false">IF(B9=0,0,C9/B9)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2026-07-03T15:30:55Z</dcterms:created>
  <dc:creator>openpyxl</dc:creator>
  <dc:description/>
  <dc:language>en-US</dc:language>
  <cp:lastModifiedBy/>
  <dcterms:modified xsi:type="dcterms:W3CDTF">2026-07-03T15:30:55Z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