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ssessmen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<sst xmlns="http://schemas.openxmlformats.org/spreadsheetml/2006/main" count="74" uniqueCount="74">
  <si>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ISO/IEC 42001:2023 — Gap Assessment Tool</t>
  </si>
  <si>
    <t xml:space="preserve">Score current-state conformity per clause requirement: 0 = Not in place, 1 = Partially in place, 2 = Fully in place. Gap = 2 - Current.</t>
  </si>
  <si>
    <t xml:space="preserve">Clause</t>
  </si>
  <si>
    <t xml:space="preserve">Requirement</t>
  </si>
  <si>
    <t xml:space="preserve">Current State (0-2)</t>
  </si>
  <si>
    <t xml:space="preserve">Evidence / Notes</t>
  </si>
  <si>
    <t xml:space="preserve">Gap</t>
  </si>
  <si>
    <t xml:space="preserve">Priority</t>
  </si>
  <si>
    <t xml:space="preserve">Owner</t>
  </si>
  <si>
    <t xml:space="preserve">Target Date</t>
  </si>
  <si>
    <t xml:space="preserve">4.1</t>
  </si>
  <si>
    <t xml:space="preserve">Understanding the organisation and its context is documented</t>
  </si>
  <si>
    <t xml:space="preserve">4.2</t>
  </si>
  <si>
    <t xml:space="preserve">Needs and expectations of interested parties identified</t>
  </si>
  <si>
    <t xml:space="preserve">4.3</t>
  </si>
  <si>
    <t xml:space="preserve">Scope of the AIMS defined and documented</t>
  </si>
  <si>
    <t xml:space="preserve">4.4</t>
  </si>
  <si>
    <t xml:space="preserve">AIMS established, implemented, maintained, and continually improved</t>
  </si>
  <si>
    <t xml:space="preserve">5.1</t>
  </si>
  <si>
    <t xml:space="preserve">Top management demonstrates leadership and commitment to the AIMS</t>
  </si>
  <si>
    <t xml:space="preserve">5.2</t>
  </si>
  <si>
    <t xml:space="preserve">AI policy established, communicated, and available</t>
  </si>
  <si>
    <t xml:space="preserve">5.3</t>
  </si>
  <si>
    <t xml:space="preserve">Roles, responsibilities, and authorities assigned and communicated</t>
  </si>
  <si>
    <t xml:space="preserve">6.1.2</t>
  </si>
  <si>
    <t xml:space="preserve">AI risk assessment process defined and applied</t>
  </si>
  <si>
    <t xml:space="preserve">6.1.3</t>
  </si>
  <si>
    <t xml:space="preserve">AI risk treatment process defined and applied</t>
  </si>
  <si>
    <t xml:space="preserve">6.1.4</t>
  </si>
  <si>
    <t xml:space="preserve">AI system impact assessment process defined</t>
  </si>
  <si>
    <t xml:space="preserve">6.2</t>
  </si>
  <si>
    <t xml:space="preserve">AI objectives established at relevant functions and levels</t>
  </si>
  <si>
    <t xml:space="preserve">6.3</t>
  </si>
  <si>
    <t xml:space="preserve">Planning for changes to the AIMS is carried out in a controlled manner</t>
  </si>
  <si>
    <t xml:space="preserve">7.1</t>
  </si>
  <si>
    <t xml:space="preserve">Resources needed for the AIMS are determined and provided</t>
  </si>
  <si>
    <t xml:space="preserve">7.2</t>
  </si>
  <si>
    <t xml:space="preserve">Competence of persons affecting AI performance is ensured</t>
  </si>
  <si>
    <t xml:space="preserve">7.3</t>
  </si>
  <si>
    <t xml:space="preserve">Awareness of the AI policy and their contribution is ensured</t>
  </si>
  <si>
    <t xml:space="preserve">7.4</t>
  </si>
  <si>
    <t xml:space="preserve">Internal and external communications relevant to the AIMS determined</t>
  </si>
  <si>
    <t xml:space="preserve">7.5</t>
  </si>
  <si>
    <t xml:space="preserve">Documented information required by the standard and the organisation is controlled</t>
  </si>
  <si>
    <t xml:space="preserve">8.1</t>
  </si>
  <si>
    <t xml:space="preserve">Operational planning and control processes are implemented</t>
  </si>
  <si>
    <t xml:space="preserve">8.2</t>
  </si>
  <si>
    <t xml:space="preserve">AI system impact assessments are carried out in operation</t>
  </si>
  <si>
    <t xml:space="preserve">8.3</t>
  </si>
  <si>
    <t xml:space="preserve">Data for AI systems is managed per defined requirements</t>
  </si>
  <si>
    <t xml:space="preserve">8.4</t>
  </si>
  <si>
    <t xml:space="preserve">Third-party relationships relevant to AI systems are managed (Annex A.10)</t>
  </si>
  <si>
    <t xml:space="preserve">9.1</t>
  </si>
  <si>
    <t xml:space="preserve">Monitoring, measurement, analysis, and evaluation of the AIMS is performed</t>
  </si>
  <si>
    <t xml:space="preserve">9.2</t>
  </si>
  <si>
    <t xml:space="preserve">Internal audits of the AIMS are conducted at planned intervals</t>
  </si>
  <si>
    <t xml:space="preserve">9.3</t>
  </si>
  <si>
    <t xml:space="preserve">Management review of the AIMS is conducted at planned intervals</t>
  </si>
  <si>
    <t xml:space="preserve">10.1</t>
  </si>
  <si>
    <t xml:space="preserve">Opportunities for improvement are determined and acted upon</t>
  </si>
  <si>
    <t xml:space="preserve">10.2</t>
  </si>
  <si>
    <t xml:space="preserve">Nonconformities are reacted to and corrective action taken</t>
  </si>
  <si>
    <t xml:space="preserve">Gap Assessment Summary</t>
  </si>
  <si>
    <t xml:space="preserve">Average Current State (0-2 scale)</t>
  </si>
  <si>
    <t xml:space="preserve">PDCA Stage</t>
  </si>
  <si>
    <t xml:space="preserve">Avg Score</t>
  </si>
  <si>
    <t xml:space="preserve">Total Gap Points</t>
  </si>
  <si>
    <t xml:space="preserve">Plan (Cl. 4-6)</t>
  </si>
  <si>
    <t xml:space="preserve">High-Priority Gaps</t>
  </si>
  <si>
    <t xml:space="preserve">Do (Cl. 7-8)</t>
  </si>
  <si>
    <t xml:space="preserve">Medium-Priority Gaps</t>
  </si>
  <si>
    <t xml:space="preserve">Check (Cl. 9)</t>
  </si>
  <si>
    <t xml:space="preserve">Fully Conformant Clauses</t>
  </si>
  <si>
    <t xml:space="preserve">Act (Cl. 10)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</si>
</sst>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Conformity Score by PDCA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Summary!$D$5:$D$8</c:f>
              <c:strCache>
                <c:ptCount val="4"/>
                <c:pt idx="0">
                  <c:v>Plan (Cl. 4-6)</c:v>
                </c:pt>
                <c:pt idx="1">
                  <c:v>Do (Cl. 7-8)</c:v>
                </c:pt>
                <c:pt idx="2">
                  <c:v>Check (Cl. 9)</c:v>
                </c:pt>
                <c:pt idx="3">
                  <c:v>Act (Cl. 10)</c:v>
                </c:pt>
              </c:strCache>
            </c:strRef>
          </c:cat>
          <c:val>
            <c:numRef>
              <c:f>Summary!$E$5:$E$8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1160751"/>
        <c:axId val="63318826"/>
      </c:barChart>
      <c:catAx>
        <c:axId val="111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18826"/>
        <c:crosses val="autoZero"/>
        <c:auto val="1"/>
        <c:lblAlgn val="ctr"/>
        <c:lblOffset val="100"/>
        <c:noMultiLvlLbl val="0"/>
      </c:catAx>
      <c:valAx>
        <c:axId val="63318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(0-2)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60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160920</xdr:rowOff>
    </xdr:from>
    <xdr:to>
      <xdr:col>10</xdr:col>
      <xdr:colOff>587520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3712680" y="190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5" t="n">
        <v>0</v>
      </c>
      <c r="D5" s="5"/>
      <c r="E5" s="5" t="n">
        <f aca="false">2-C5</f>
        <v>2</v>
      </c>
      <c r="F5" s="5" t="str">
        <f aca="false">IF(E5=2,"High",IF(E5=1,"Medium","Low"))</f>
        <v>High</v>
      </c>
      <c r="G5" s="5"/>
      <c r="H5" s="5"/>
    </row>
    <row r="6" customFormat="false" ht="15" hidden="false" customHeight="false" outlineLevel="0" collapsed="false">
      <c r="A6" s="6" t="s">
        <v>12</v>
      </c>
      <c r="B6" s="7" t="s">
        <v>13</v>
      </c>
      <c r="C6" s="7" t="n">
        <v>0</v>
      </c>
      <c r="D6" s="7"/>
      <c r="E6" s="7" t="n">
        <f aca="false">2-C6</f>
        <v>2</v>
      </c>
      <c r="F6" s="7" t="str">
        <f aca="false">IF(E6=2,"High",IF(E6=1,"Medium","Low"))</f>
        <v>High</v>
      </c>
      <c r="G6" s="7"/>
      <c r="H6" s="7"/>
    </row>
    <row r="7" customFormat="false" ht="15" hidden="false" customHeight="false" outlineLevel="0" collapsed="false">
      <c r="A7" s="4" t="s">
        <v>14</v>
      </c>
      <c r="B7" s="5" t="s">
        <v>15</v>
      </c>
      <c r="C7" s="5" t="n">
        <v>0</v>
      </c>
      <c r="D7" s="5"/>
      <c r="E7" s="5" t="n">
        <f aca="false">2-C7</f>
        <v>2</v>
      </c>
      <c r="F7" s="5" t="str">
        <f aca="false">IF(E7=2,"High",IF(E7=1,"Medium","Low"))</f>
        <v>High</v>
      </c>
      <c r="G7" s="5"/>
      <c r="H7" s="5"/>
    </row>
    <row r="8" customFormat="false" ht="23.85" hidden="false" customHeight="false" outlineLevel="0" collapsed="false">
      <c r="A8" s="6" t="s">
        <v>16</v>
      </c>
      <c r="B8" s="7" t="s">
        <v>17</v>
      </c>
      <c r="C8" s="7" t="n">
        <v>0</v>
      </c>
      <c r="D8" s="7"/>
      <c r="E8" s="7" t="n">
        <f aca="false">2-C8</f>
        <v>2</v>
      </c>
      <c r="F8" s="7" t="str">
        <f aca="false">IF(E8=2,"High",IF(E8=1,"Medium","Low"))</f>
        <v>High</v>
      </c>
      <c r="G8" s="7"/>
      <c r="H8" s="7"/>
    </row>
    <row r="9" customFormat="false" ht="23.85" hidden="false" customHeight="false" outlineLevel="0" collapsed="false">
      <c r="A9" s="4" t="s">
        <v>18</v>
      </c>
      <c r="B9" s="5" t="s">
        <v>19</v>
      </c>
      <c r="C9" s="5" t="n">
        <v>0</v>
      </c>
      <c r="D9" s="5"/>
      <c r="E9" s="5" t="n">
        <f aca="false">2-C9</f>
        <v>2</v>
      </c>
      <c r="F9" s="5" t="str">
        <f aca="false">IF(E9=2,"High",IF(E9=1,"Medium","Low"))</f>
        <v>High</v>
      </c>
      <c r="G9" s="5"/>
      <c r="H9" s="5"/>
    </row>
    <row r="10" customFormat="false" ht="15" hidden="false" customHeight="false" outlineLevel="0" collapsed="false">
      <c r="A10" s="6" t="s">
        <v>20</v>
      </c>
      <c r="B10" s="7" t="s">
        <v>21</v>
      </c>
      <c r="C10" s="7" t="n">
        <v>0</v>
      </c>
      <c r="D10" s="7"/>
      <c r="E10" s="7" t="n">
        <f aca="false">2-C10</f>
        <v>2</v>
      </c>
      <c r="F10" s="7" t="str">
        <f aca="false">IF(E10=2,"High",IF(E10=1,"Medium","Low"))</f>
        <v>High</v>
      </c>
      <c r="G10" s="7"/>
      <c r="H10" s="7"/>
    </row>
    <row r="11" customFormat="false" ht="23.85" hidden="false" customHeight="false" outlineLevel="0" collapsed="false">
      <c r="A11" s="4" t="s">
        <v>22</v>
      </c>
      <c r="B11" s="5" t="s">
        <v>23</v>
      </c>
      <c r="C11" s="5" t="n">
        <v>0</v>
      </c>
      <c r="D11" s="5"/>
      <c r="E11" s="5" t="n">
        <f aca="false">2-C11</f>
        <v>2</v>
      </c>
      <c r="F11" s="5" t="str">
        <f aca="false">IF(E11=2,"High",IF(E11=1,"Medium","Low"))</f>
        <v>High</v>
      </c>
      <c r="G11" s="5"/>
      <c r="H11" s="5"/>
    </row>
    <row r="12" customFormat="false" ht="15" hidden="false" customHeight="false" outlineLevel="0" collapsed="false">
      <c r="A12" s="6" t="s">
        <v>24</v>
      </c>
      <c r="B12" s="7" t="s">
        <v>25</v>
      </c>
      <c r="C12" s="7" t="n">
        <v>0</v>
      </c>
      <c r="D12" s="7"/>
      <c r="E12" s="7" t="n">
        <f aca="false">2-C12</f>
        <v>2</v>
      </c>
      <c r="F12" s="7" t="str">
        <f aca="false">IF(E12=2,"High",IF(E12=1,"Medium","Low"))</f>
        <v>High</v>
      </c>
      <c r="G12" s="7"/>
      <c r="H12" s="7"/>
    </row>
    <row r="13" customFormat="false" ht="15" hidden="false" customHeight="false" outlineLevel="0" collapsed="false">
      <c r="A13" s="4" t="s">
        <v>26</v>
      </c>
      <c r="B13" s="5" t="s">
        <v>27</v>
      </c>
      <c r="C13" s="5" t="n">
        <v>0</v>
      </c>
      <c r="D13" s="5"/>
      <c r="E13" s="5" t="n">
        <f aca="false">2-C13</f>
        <v>2</v>
      </c>
      <c r="F13" s="5" t="str">
        <f aca="false">IF(E13=2,"High",IF(E13=1,"Medium","Low"))</f>
        <v>High</v>
      </c>
      <c r="G13" s="5"/>
      <c r="H13" s="5"/>
    </row>
    <row r="14" customFormat="false" ht="15" hidden="false" customHeight="false" outlineLevel="0" collapsed="false">
      <c r="A14" s="6" t="s">
        <v>28</v>
      </c>
      <c r="B14" s="7" t="s">
        <v>29</v>
      </c>
      <c r="C14" s="7" t="n">
        <v>0</v>
      </c>
      <c r="D14" s="7"/>
      <c r="E14" s="7" t="n">
        <f aca="false">2-C14</f>
        <v>2</v>
      </c>
      <c r="F14" s="7" t="str">
        <f aca="false">IF(E14=2,"High",IF(E14=1,"Medium","Low"))</f>
        <v>High</v>
      </c>
      <c r="G14" s="7"/>
      <c r="H14" s="7"/>
    </row>
    <row r="15" customFormat="false" ht="23.85" hidden="false" customHeight="false" outlineLevel="0" collapsed="false">
      <c r="A15" s="4" t="s">
        <v>30</v>
      </c>
      <c r="B15" s="5" t="s">
        <v>31</v>
      </c>
      <c r="C15" s="5" t="n">
        <v>0</v>
      </c>
      <c r="D15" s="5"/>
      <c r="E15" s="5" t="n">
        <f aca="false">2-C15</f>
        <v>2</v>
      </c>
      <c r="F15" s="5" t="str">
        <f aca="false">IF(E15=2,"High",IF(E15=1,"Medium","Low"))</f>
        <v>High</v>
      </c>
      <c r="G15" s="5"/>
      <c r="H15" s="5"/>
    </row>
    <row r="16" customFormat="false" ht="23.85" hidden="false" customHeight="false" outlineLevel="0" collapsed="false">
      <c r="A16" s="6" t="s">
        <v>32</v>
      </c>
      <c r="B16" s="7" t="s">
        <v>33</v>
      </c>
      <c r="C16" s="7" t="n">
        <v>0</v>
      </c>
      <c r="D16" s="7"/>
      <c r="E16" s="7" t="n">
        <f aca="false">2-C16</f>
        <v>2</v>
      </c>
      <c r="F16" s="7" t="str">
        <f aca="false">IF(E16=2,"High",IF(E16=1,"Medium","Low"))</f>
        <v>High</v>
      </c>
      <c r="G16" s="7"/>
      <c r="H16" s="7"/>
    </row>
    <row r="17" customFormat="false" ht="23.85" hidden="false" customHeight="false" outlineLevel="0" collapsed="false">
      <c r="A17" s="4" t="s">
        <v>34</v>
      </c>
      <c r="B17" s="5" t="s">
        <v>35</v>
      </c>
      <c r="C17" s="5" t="n">
        <v>0</v>
      </c>
      <c r="D17" s="5"/>
      <c r="E17" s="5" t="n">
        <f aca="false">2-C17</f>
        <v>2</v>
      </c>
      <c r="F17" s="5" t="str">
        <f aca="false">IF(E17=2,"High",IF(E17=1,"Medium","Low"))</f>
        <v>High</v>
      </c>
      <c r="G17" s="5"/>
      <c r="H17" s="5"/>
    </row>
    <row r="18" customFormat="false" ht="23.85" hidden="false" customHeight="false" outlineLevel="0" collapsed="false">
      <c r="A18" s="6" t="s">
        <v>36</v>
      </c>
      <c r="B18" s="7" t="s">
        <v>37</v>
      </c>
      <c r="C18" s="7" t="n">
        <v>0</v>
      </c>
      <c r="D18" s="7"/>
      <c r="E18" s="7" t="n">
        <f aca="false">2-C18</f>
        <v>2</v>
      </c>
      <c r="F18" s="7" t="str">
        <f aca="false">IF(E18=2,"High",IF(E18=1,"Medium","Low"))</f>
        <v>High</v>
      </c>
      <c r="G18" s="7"/>
      <c r="H18" s="7"/>
    </row>
    <row r="19" customFormat="false" ht="23.85" hidden="false" customHeight="false" outlineLevel="0" collapsed="false">
      <c r="A19" s="4" t="s">
        <v>38</v>
      </c>
      <c r="B19" s="5" t="s">
        <v>39</v>
      </c>
      <c r="C19" s="5" t="n">
        <v>0</v>
      </c>
      <c r="D19" s="5"/>
      <c r="E19" s="5" t="n">
        <f aca="false">2-C19</f>
        <v>2</v>
      </c>
      <c r="F19" s="5" t="str">
        <f aca="false">IF(E19=2,"High",IF(E19=1,"Medium","Low"))</f>
        <v>High</v>
      </c>
      <c r="G19" s="5"/>
      <c r="H19" s="5"/>
    </row>
    <row r="20" customFormat="false" ht="23.85" hidden="false" customHeight="false" outlineLevel="0" collapsed="false">
      <c r="A20" s="6" t="s">
        <v>40</v>
      </c>
      <c r="B20" s="7" t="s">
        <v>41</v>
      </c>
      <c r="C20" s="7" t="n">
        <v>0</v>
      </c>
      <c r="D20" s="7"/>
      <c r="E20" s="7" t="n">
        <f aca="false">2-C20</f>
        <v>2</v>
      </c>
      <c r="F20" s="7" t="str">
        <f aca="false">IF(E20=2,"High",IF(E20=1,"Medium","Low"))</f>
        <v>High</v>
      </c>
      <c r="G20" s="7"/>
      <c r="H20" s="7"/>
    </row>
    <row r="21" customFormat="false" ht="23.85" hidden="false" customHeight="false" outlineLevel="0" collapsed="false">
      <c r="A21" s="4" t="s">
        <v>42</v>
      </c>
      <c r="B21" s="5" t="s">
        <v>43</v>
      </c>
      <c r="C21" s="5" t="n">
        <v>0</v>
      </c>
      <c r="D21" s="5"/>
      <c r="E21" s="5" t="n">
        <f aca="false">2-C21</f>
        <v>2</v>
      </c>
      <c r="F21" s="5" t="str">
        <f aca="false">IF(E21=2,"High",IF(E21=1,"Medium","Low"))</f>
        <v>High</v>
      </c>
      <c r="G21" s="5"/>
      <c r="H21" s="5"/>
    </row>
    <row r="22" customFormat="false" ht="23.85" hidden="false" customHeight="false" outlineLevel="0" collapsed="false">
      <c r="A22" s="6" t="s">
        <v>44</v>
      </c>
      <c r="B22" s="7" t="s">
        <v>45</v>
      </c>
      <c r="C22" s="7" t="n">
        <v>0</v>
      </c>
      <c r="D22" s="7"/>
      <c r="E22" s="7" t="n">
        <f aca="false">2-C22</f>
        <v>2</v>
      </c>
      <c r="F22" s="7" t="str">
        <f aca="false">IF(E22=2,"High",IF(E22=1,"Medium","Low"))</f>
        <v>High</v>
      </c>
      <c r="G22" s="7"/>
      <c r="H22" s="7"/>
    </row>
    <row r="23" customFormat="false" ht="23.85" hidden="false" customHeight="false" outlineLevel="0" collapsed="false">
      <c r="A23" s="4" t="s">
        <v>46</v>
      </c>
      <c r="B23" s="5" t="s">
        <v>47</v>
      </c>
      <c r="C23" s="5" t="n">
        <v>0</v>
      </c>
      <c r="D23" s="5"/>
      <c r="E23" s="5" t="n">
        <f aca="false">2-C23</f>
        <v>2</v>
      </c>
      <c r="F23" s="5" t="str">
        <f aca="false">IF(E23=2,"High",IF(E23=1,"Medium","Low"))</f>
        <v>High</v>
      </c>
      <c r="G23" s="5"/>
      <c r="H23" s="5"/>
    </row>
    <row r="24" customFormat="false" ht="23.85" hidden="false" customHeight="false" outlineLevel="0" collapsed="false">
      <c r="A24" s="6" t="s">
        <v>48</v>
      </c>
      <c r="B24" s="7" t="s">
        <v>49</v>
      </c>
      <c r="C24" s="7" t="n">
        <v>0</v>
      </c>
      <c r="D24" s="7"/>
      <c r="E24" s="7" t="n">
        <f aca="false">2-C24</f>
        <v>2</v>
      </c>
      <c r="F24" s="7" t="str">
        <f aca="false">IF(E24=2,"High",IF(E24=1,"Medium","Low"))</f>
        <v>High</v>
      </c>
      <c r="G24" s="7"/>
      <c r="H24" s="7"/>
    </row>
    <row r="25" customFormat="false" ht="23.85" hidden="false" customHeight="false" outlineLevel="0" collapsed="false">
      <c r="A25" s="4" t="s">
        <v>50</v>
      </c>
      <c r="B25" s="5" t="s">
        <v>51</v>
      </c>
      <c r="C25" s="5" t="n">
        <v>0</v>
      </c>
      <c r="D25" s="5"/>
      <c r="E25" s="5" t="n">
        <f aca="false">2-C25</f>
        <v>2</v>
      </c>
      <c r="F25" s="5" t="str">
        <f aca="false">IF(E25=2,"High",IF(E25=1,"Medium","Low"))</f>
        <v>High</v>
      </c>
      <c r="G25" s="5"/>
      <c r="H25" s="5"/>
    </row>
    <row r="26" customFormat="false" ht="23.85" hidden="false" customHeight="false" outlineLevel="0" collapsed="false">
      <c r="A26" s="6" t="s">
        <v>52</v>
      </c>
      <c r="B26" s="7" t="s">
        <v>53</v>
      </c>
      <c r="C26" s="7" t="n">
        <v>0</v>
      </c>
      <c r="D26" s="7"/>
      <c r="E26" s="7" t="n">
        <f aca="false">2-C26</f>
        <v>2</v>
      </c>
      <c r="F26" s="7" t="str">
        <f aca="false">IF(E26=2,"High",IF(E26=1,"Medium","Low"))</f>
        <v>High</v>
      </c>
      <c r="G26" s="7"/>
      <c r="H26" s="7"/>
    </row>
    <row r="27" customFormat="false" ht="23.85" hidden="false" customHeight="false" outlineLevel="0" collapsed="false">
      <c r="A27" s="4" t="s">
        <v>54</v>
      </c>
      <c r="B27" s="5" t="s">
        <v>55</v>
      </c>
      <c r="C27" s="5" t="n">
        <v>0</v>
      </c>
      <c r="D27" s="5"/>
      <c r="E27" s="5" t="n">
        <f aca="false">2-C27</f>
        <v>2</v>
      </c>
      <c r="F27" s="5" t="str">
        <f aca="false">IF(E27=2,"High",IF(E27=1,"Medium","Low"))</f>
        <v>High</v>
      </c>
      <c r="G27" s="5"/>
      <c r="H27" s="5"/>
    </row>
    <row r="28" customFormat="false" ht="23.85" hidden="false" customHeight="false" outlineLevel="0" collapsed="false">
      <c r="A28" s="6" t="s">
        <v>56</v>
      </c>
      <c r="B28" s="7" t="s">
        <v>57</v>
      </c>
      <c r="C28" s="7" t="n">
        <v>0</v>
      </c>
      <c r="D28" s="7"/>
      <c r="E28" s="7" t="n">
        <f aca="false">2-C28</f>
        <v>2</v>
      </c>
      <c r="F28" s="7" t="str">
        <f aca="false">IF(E28=2,"High",IF(E28=1,"Medium","Low"))</f>
        <v>High</v>
      </c>
      <c r="G28" s="7"/>
      <c r="H28" s="7"/>
    </row>
    <row r="29" customFormat="false" ht="23.85" hidden="false" customHeight="false" outlineLevel="0" collapsed="false">
      <c r="A29" s="4" t="s">
        <v>58</v>
      </c>
      <c r="B29" s="5" t="s">
        <v>59</v>
      </c>
      <c r="C29" s="5" t="n">
        <v>0</v>
      </c>
      <c r="D29" s="5"/>
      <c r="E29" s="5" t="n">
        <f aca="false">2-C29</f>
        <v>2</v>
      </c>
      <c r="F29" s="5" t="str">
        <f aca="false">IF(E29=2,"High",IF(E29=1,"Medium","Low"))</f>
        <v>High</v>
      </c>
      <c r="G29" s="5"/>
      <c r="H29" s="5"/>
    </row>
    <row r="30" customFormat="false" ht="23.85" hidden="false" customHeight="false" outlineLevel="0" collapsed="false">
      <c r="A30" s="6" t="s">
        <v>60</v>
      </c>
      <c r="B30" s="7" t="s">
        <v>61</v>
      </c>
      <c r="C30" s="7" t="n">
        <v>0</v>
      </c>
      <c r="D30" s="7"/>
      <c r="E30" s="7" t="n">
        <f aca="false">2-C30</f>
        <v>2</v>
      </c>
      <c r="F30" s="7" t="str">
        <f aca="false">IF(E30=2,"High",IF(E30=1,"Medium","Low"))</f>
        <v>High</v>
      </c>
      <c r="G30" s="7"/>
      <c r="H30" s="7"/>
    </row>
  </sheetData>
  <conditionalFormatting sqref="F5:F30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1">
    <dataValidation allowBlank="true" errorStyle="stop" operator="between" showDropDown="false" showErrorMessage="false" showInputMessage="false" sqref="C5:C30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62</v>
      </c>
    </row>
    <row r="4" customFormat="false" ht="15" hidden="false" customHeight="false" outlineLevel="0" collapsed="false">
      <c r="A4" s="8" t="s">
        <v>63</v>
      </c>
      <c r="B4" s="9" t="n">
        <f aca="false">AVERAGE('Gap Assessment'!C5:C30)</f>
        <v>0</v>
      </c>
      <c r="D4" s="10" t="s">
        <v>64</v>
      </c>
      <c r="E4" s="10" t="s">
        <v>65</v>
      </c>
    </row>
    <row r="5" customFormat="false" ht="15" hidden="false" customHeight="false" outlineLevel="0" collapsed="false">
      <c r="A5" s="8" t="s">
        <v>66</v>
      </c>
      <c r="B5" s="9" t="n">
        <f aca="false">SUM('Gap Assessment'!E5:E30)</f>
        <v>52</v>
      </c>
      <c r="D5" s="11" t="s">
        <v>67</v>
      </c>
      <c r="E5" s="11" t="n">
        <f aca="false">AVERAGE('Gap Assessment'!C5:C16)</f>
        <v>0</v>
      </c>
    </row>
    <row r="6" customFormat="false" ht="15" hidden="false" customHeight="false" outlineLevel="0" collapsed="false">
      <c r="A6" s="8" t="s">
        <v>68</v>
      </c>
      <c r="B6" s="9" t="n">
        <f aca="false">COUNTIF('Gap Assessment'!F5:F30,"High")</f>
        <v>26</v>
      </c>
      <c r="D6" s="11" t="s">
        <v>69</v>
      </c>
      <c r="E6" s="11" t="n">
        <f aca="false">AVERAGE('Gap Assessment'!C17:C25)</f>
        <v>0</v>
      </c>
    </row>
    <row r="7" customFormat="false" ht="15" hidden="false" customHeight="false" outlineLevel="0" collapsed="false">
      <c r="A7" s="8" t="s">
        <v>70</v>
      </c>
      <c r="B7" s="9" t="n">
        <f aca="false">COUNTIF('Gap Assessment'!F5:F30,"Medium")</f>
        <v>0</v>
      </c>
      <c r="D7" s="11" t="s">
        <v>71</v>
      </c>
      <c r="E7" s="11" t="n">
        <f aca="false">AVERAGE('Gap Assessment'!C26:C28)</f>
        <v>0</v>
      </c>
    </row>
    <row r="8" customFormat="false" ht="15" hidden="false" customHeight="false" outlineLevel="0" collapsed="false">
      <c r="A8" s="8" t="s">
        <v>72</v>
      </c>
      <c r="B8" s="9" t="n">
        <f aca="false">COUNTIF('Gap Assessment'!C5:C30,2)</f>
        <v>0</v>
      </c>
      <c r="D8" s="11" t="s">
        <v>73</v>
      </c>
      <c r="E8" s="11" t="n">
        <f aca="false">AVERAGE('Gap Assessment'!C29:C30)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2026-07-03T19:49:50Z</dcterms:created>
  <dc:creator>openpyxl</dc:creator>
  <dc:description/>
  <dc:language>en-US</dc:language>
  <cp:lastModifiedBy/>
  <dcterms:modified xsi:type="dcterms:W3CDTF">2026-07-03T19:49:53Z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