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</sheets>
  <definedNames>
    <definedName function="false" hidden="true" localSheetId="0" name="_xlnm._FilterDatabase" vbProcedure="false">'Risk Register'!$A$3:$K$8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<sst xmlns="http://schemas.openxmlformats.org/spreadsheetml/2006/main" count="37" uniqueCount="31">
  <si>
    <t xml:space="preserve">ISO 42001 — Risk and Opportunity Register (Clause 6.1)</t>
  </si>
  <si>
    <t xml:space="preserve">ID</t>
  </si>
  <si>
    <t xml:space="preserve">Type</t>
  </si>
  <si>
    <t xml:space="preserve">Description</t>
  </si>
  <si>
    <t xml:space="preserve">Likelihood (1-5)</t>
  </si>
  <si>
    <t xml:space="preserve">Impact (1-5)</t>
  </si>
  <si>
    <t xml:space="preserve">Score</t>
  </si>
  <si>
    <t xml:space="preserve">Rating</t>
  </si>
  <si>
    <t xml:space="preserve">Treatment/Action</t>
  </si>
  <si>
    <t xml:space="preserve">Owner</t>
  </si>
  <si>
    <t xml:space="preserve">Target Date</t>
  </si>
  <si>
    <t xml:space="preserve">Status</t>
  </si>
  <si>
    <t xml:space="preserve">R-001</t>
  </si>
  <si>
    <t xml:space="preserve">Risk</t>
  </si>
  <si>
    <t xml:space="preserve">AI model performance degrades undetected between review cycles</t>
  </si>
  <si>
    <t xml:space="preserve">Implement continuous monitoring thresholds; tie to Quarterly Governance Review</t>
  </si>
  <si>
    <t xml:space="preserve">In Progress</t>
  </si>
  <si>
    <t xml:space="preserve">R-002</t>
  </si>
  <si>
    <t xml:space="preserve">Third-party foundation model provider changes model behaviour without notice</t>
  </si>
  <si>
    <t xml:space="preserve">Add change-notification clause to vendor contracts; version-pin where possible</t>
  </si>
  <si>
    <t xml:space="preserve">Open</t>
  </si>
  <si>
    <t xml:space="preserve">R-003</t>
  </si>
  <si>
    <t xml:space="preserve">AIMS scope excludes shadow AI tools adopted informally by business units</t>
  </si>
  <si>
    <t xml:space="preserve">Run structured discovery exercise; add self-declaration channel</t>
  </si>
  <si>
    <t xml:space="preserve">O-001</t>
  </si>
  <si>
    <t xml:space="preserve">Opportunity</t>
  </si>
  <si>
    <t xml:space="preserve">AIMS certification differentiates the organisation in vendor RFPs</t>
  </si>
  <si>
    <t xml:space="preserve">Highlight certification status in sales/procurement materials once achieved</t>
  </si>
  <si>
    <t xml:space="preserve">O-002</t>
  </si>
  <si>
    <t xml:space="preserve">Mature AIMS reduces duplicate effort across EU AI Act, and other jurisdiction-specific compliance work</t>
  </si>
  <si>
    <t xml:space="preserve">Map AIMS outputs directly to jurisdiction-specific obligations via the Regulatory Crosswalk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</si>
</sst>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>
          <bgColor rgb="FFFCE4E4"/>
        </patternFill>
      </fill>
    </dxf>
    <dxf>
      <fill>
        <patternFill>
          <bgColor rgb="FFFFF3CD"/>
        </patternFill>
      </fill>
    </dxf>
    <dxf>
      <fill>
        <patternFill>
          <b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32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30"/>
    <col collapsed="false" customWidth="true" hidden="false" outlineLevel="0" max="9" min="9" style="0" width="14"/>
    <col collapsed="false" customWidth="true" hidden="false" outlineLevel="0" max="11" min="10" style="0" width="12"/>
  </cols>
  <sheetData>
    <row r="1" customFormat="false" ht="16.15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</row>
    <row r="4" customFormat="false" ht="35.05" hidden="false" customHeight="false" outlineLevel="0" collapsed="false">
      <c r="A4" s="3" t="s">
        <v>12</v>
      </c>
      <c r="B4" s="3" t="s">
        <v>13</v>
      </c>
      <c r="C4" s="3" t="s">
        <v>14</v>
      </c>
      <c r="D4" s="3" t="n">
        <v>3</v>
      </c>
      <c r="E4" s="3" t="n">
        <v>4</v>
      </c>
      <c r="F4" s="3" t="n">
        <f aca="false">D4*E4</f>
        <v>12</v>
      </c>
      <c r="G4" s="3" t="str">
        <f aca="false">IF(F4&gt;=15,"Critical",IF(F4&gt;=9,"High",IF(F4&gt;=4,"Medium","Low")))</f>
        <v>High</v>
      </c>
      <c r="H4" s="3" t="s">
        <v>15</v>
      </c>
      <c r="I4" s="3"/>
      <c r="J4" s="3"/>
      <c r="K4" s="3" t="s">
        <v>16</v>
      </c>
    </row>
    <row r="5" customFormat="false" ht="35.05" hidden="false" customHeight="false" outlineLevel="0" collapsed="false">
      <c r="A5" s="4" t="s">
        <v>17</v>
      </c>
      <c r="B5" s="4" t="s">
        <v>13</v>
      </c>
      <c r="C5" s="4" t="s">
        <v>18</v>
      </c>
      <c r="D5" s="4" t="n">
        <v>3</v>
      </c>
      <c r="E5" s="4" t="n">
        <v>3</v>
      </c>
      <c r="F5" s="4" t="n">
        <f aca="false">D5*E5</f>
        <v>9</v>
      </c>
      <c r="G5" s="4" t="str">
        <f aca="false">IF(F5&gt;=15,"Critical",IF(F5&gt;=9,"High",IF(F5&gt;=4,"Medium","Low")))</f>
        <v>High</v>
      </c>
      <c r="H5" s="4" t="s">
        <v>19</v>
      </c>
      <c r="I5" s="4"/>
      <c r="J5" s="4"/>
      <c r="K5" s="4" t="s">
        <v>20</v>
      </c>
    </row>
    <row r="6" customFormat="false" ht="23.85" hidden="false" customHeight="false" outlineLevel="0" collapsed="false">
      <c r="A6" s="3" t="s">
        <v>21</v>
      </c>
      <c r="B6" s="3" t="s">
        <v>13</v>
      </c>
      <c r="C6" s="3" t="s">
        <v>22</v>
      </c>
      <c r="D6" s="3" t="n">
        <v>4</v>
      </c>
      <c r="E6" s="3" t="n">
        <v>3</v>
      </c>
      <c r="F6" s="3" t="n">
        <f aca="false">D6*E6</f>
        <v>12</v>
      </c>
      <c r="G6" s="3" t="str">
        <f aca="false">IF(F6&gt;=15,"Critical",IF(F6&gt;=9,"High",IF(F6&gt;=4,"Medium","Low")))</f>
        <v>High</v>
      </c>
      <c r="H6" s="3" t="s">
        <v>23</v>
      </c>
      <c r="I6" s="3"/>
      <c r="J6" s="3"/>
      <c r="K6" s="3" t="s">
        <v>20</v>
      </c>
    </row>
    <row r="7" customFormat="false" ht="35.05" hidden="false" customHeight="false" outlineLevel="0" collapsed="false">
      <c r="A7" s="4" t="s">
        <v>24</v>
      </c>
      <c r="B7" s="4" t="s">
        <v>25</v>
      </c>
      <c r="C7" s="4" t="s">
        <v>26</v>
      </c>
      <c r="D7" s="4" t="n">
        <v>3</v>
      </c>
      <c r="E7" s="4" t="n">
        <v>3</v>
      </c>
      <c r="F7" s="4" t="n">
        <f aca="false">D7*E7</f>
        <v>9</v>
      </c>
      <c r="G7" s="4" t="str">
        <f aca="false">IF(F7&gt;=15,"Critical",IF(F7&gt;=9,"High",IF(F7&gt;=4,"Medium","Low")))</f>
        <v>High</v>
      </c>
      <c r="H7" s="4" t="s">
        <v>27</v>
      </c>
      <c r="I7" s="4"/>
      <c r="J7" s="4"/>
      <c r="K7" s="4" t="s">
        <v>20</v>
      </c>
    </row>
    <row r="8" customFormat="false" ht="35.05" hidden="false" customHeight="false" outlineLevel="0" collapsed="false">
      <c r="A8" s="3" t="s">
        <v>28</v>
      </c>
      <c r="B8" s="3" t="s">
        <v>25</v>
      </c>
      <c r="C8" s="3" t="s">
        <v>29</v>
      </c>
      <c r="D8" s="3" t="n">
        <v>4</v>
      </c>
      <c r="E8" s="3" t="n">
        <v>4</v>
      </c>
      <c r="F8" s="3" t="n">
        <f aca="false">D8*E8</f>
        <v>16</v>
      </c>
      <c r="G8" s="3" t="str">
        <f aca="false">IF(F8&gt;=15,"Critical",IF(F8&gt;=9,"High",IF(F8&gt;=4,"Medium","Low")))</f>
        <v>Critical</v>
      </c>
      <c r="H8" s="3" t="s">
        <v>30</v>
      </c>
      <c r="I8" s="3"/>
      <c r="J8" s="3"/>
      <c r="K8" s="3" t="s">
        <v>20</v>
      </c>
    </row>
  </sheetData>
  <autoFilter ref="A3:K8"/>
  <conditionalFormatting sqref="G4:G8">
    <cfRule type="cellIs" priority="2" operator="equal" aboveAverage="0" equalAverage="0" bottom="0" percent="0" rank="0" text="" dxfId="5">
      <formula>"Critical"</formula>
    </cfRule>
    <cfRule type="cellIs" priority="3" operator="equal" aboveAverage="0" equalAverage="0" bottom="0" percent="0" rank="0" text="" dxfId="5">
      <formula>"High"</formula>
    </cfRule>
    <cfRule type="cellIs" priority="4" operator="equal" aboveAverage="0" equalAverage="0" bottom="0" percent="0" rank="0" text="" dxfId="6">
      <formula>"Medium"</formula>
    </cfRule>
    <cfRule type="cellIs" priority="5" operator="equal" aboveAverage="0" equalAverage="0" bottom="0" percent="0" rank="0" text="" dxfId="7">
      <formula>"Low"</formula>
    </cfRule>
  </conditionalFormatting>
  <dataValidations count="3">
    <dataValidation allowBlank="true" errorStyle="stop" operator="between" showDropDown="false" showErrorMessage="false" showInputMessage="false" sqref="D4:E8" type="whole">
      <formula1>1</formula1>
      <formula2>5</formula2>
    </dataValidation>
    <dataValidation allowBlank="true" errorStyle="stop" operator="between" showDropDown="false" showErrorMessage="false" showInputMessage="false" sqref="K4:K8" type="list">
      <formula1>"Open,In Progress,Closed,Overdue"</formula1>
      <formula2>0</formula2>
    </dataValidation>
    <dataValidation allowBlank="true" errorStyle="stop" operator="between" showDropDown="false" showErrorMessage="false" showInputMessage="false" sqref="B4:B8" type="list">
      <formula1>"Risk,Opportunity"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2026-07-03T19:50:51Z</dcterms:created>
  <dc:creator>openpyxl</dc:creator>
  <dc:description/>
  <dc:language>en-US</dc:language>
  <cp:lastModifiedBy/>
  <dcterms:modified xsi:type="dcterms:W3CDTF">2026-07-03T19:50:51Z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