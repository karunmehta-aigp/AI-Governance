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ives and KP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<sst xmlns="http://schemas.openxmlformats.org/spreadsheetml/2006/main" count="30" uniqueCount="24">
  <si>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t xml:space="preserve">ISO 42001 — AI Objectives and KPI Template (Clause 6.2)</t>
  </si>
  <si>
    <t xml:space="preserve">Objective</t>
  </si>
  <si>
    <t xml:space="preserve">KPI</t>
  </si>
  <si>
    <t xml:space="preserve">Baseline</t>
  </si>
  <si>
    <t xml:space="preserve">Target</t>
  </si>
  <si>
    <t xml:space="preserve">Current</t>
  </si>
  <si>
    <t xml:space="preserve">% to Target</t>
  </si>
  <si>
    <t xml:space="preserve">Status</t>
  </si>
  <si>
    <t xml:space="preserve">Owner</t>
  </si>
  <si>
    <t xml:space="preserve">Review Frequency</t>
  </si>
  <si>
    <t xml:space="preserve">100% of AI systems logged in the inventory before production deployment</t>
  </si>
  <si>
    <t xml:space="preserve">% of systems logged pre-deployment</t>
  </si>
  <si>
    <t xml:space="preserve">AI Governance Office</t>
  </si>
  <si>
    <t xml:space="preserve">Quarterly</t>
  </si>
  <si>
    <t xml:space="preserve">Reduce time from incident detection to containment</t>
  </si>
  <si>
    <t xml:space="preserve">Median hours, detection to containment</t>
  </si>
  <si>
    <t xml:space="preserve">Increase completion rate of quarterly governance reviews</t>
  </si>
  <si>
    <t xml:space="preserve">% of high/limited-risk systems reviewed on time</t>
  </si>
  <si>
    <t xml:space="preserve">Achieve ISO 42001 certification readiness</t>
  </si>
  <si>
    <t xml:space="preserve">Gap Assessment average score (0-2 scale)</t>
  </si>
  <si>
    <t xml:space="preserve">AIMS Owner</t>
  </si>
  <si>
    <t xml:space="preserve">Semi-annual</t>
  </si>
  <si>
    <t xml:space="preserve">Improve human oversight coverage for High-risk systems</t>
  </si>
  <si>
    <t xml:space="preserve">% of High-risk systems with named override authority documented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</si>
</sst>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E4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7" min="3" style="0" width="12"/>
    <col collapsed="false" customWidth="true" hidden="false" outlineLevel="0" max="9" min="8" style="0" width="16"/>
  </cols>
  <sheetData>
    <row r="1" customFormat="false" ht="16.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35.05" hidden="false" customHeight="false" outlineLevel="0" collapsed="false">
      <c r="A4" s="3" t="s">
        <v>10</v>
      </c>
      <c r="B4" s="3" t="s">
        <v>11</v>
      </c>
      <c r="C4" s="3" t="n">
        <v>60</v>
      </c>
      <c r="D4" s="3" t="n">
        <v>100</v>
      </c>
      <c r="E4" s="3" t="n">
        <v>85</v>
      </c>
      <c r="F4" s="4" t="n">
        <f aca="false">IF(D4=C4,1,(E4-C4)/(D4-C4))</f>
        <v>0.625</v>
      </c>
      <c r="G4" s="3" t="str">
        <f aca="false">IF(F4&gt;=1,"On Target",IF(F4&gt;=0.6,"On Track","At Risk"))</f>
        <v>On Track</v>
      </c>
      <c r="H4" s="3" t="s">
        <v>12</v>
      </c>
      <c r="I4" s="3" t="s">
        <v>13</v>
      </c>
    </row>
    <row r="5" customFormat="false" ht="23.85" hidden="false" customHeight="false" outlineLevel="0" collapsed="false">
      <c r="A5" s="5" t="s">
        <v>14</v>
      </c>
      <c r="B5" s="5" t="s">
        <v>15</v>
      </c>
      <c r="C5" s="5" t="n">
        <v>72</v>
      </c>
      <c r="D5" s="5" t="n">
        <v>24</v>
      </c>
      <c r="E5" s="5" t="n">
        <v>40</v>
      </c>
      <c r="F5" s="6" t="n">
        <f aca="false">IF(D5=C5,1,(E5-C5)/(D5-C5))</f>
        <v>0.666666666666667</v>
      </c>
      <c r="G5" s="5" t="str">
        <f aca="false">IF(F5&gt;=1,"On Target",IF(F5&gt;=0.6,"On Track","At Risk"))</f>
        <v>On Track</v>
      </c>
      <c r="H5" s="5" t="s">
        <v>12</v>
      </c>
      <c r="I5" s="5" t="s">
        <v>13</v>
      </c>
    </row>
    <row r="6" customFormat="false" ht="23.85" hidden="false" customHeight="false" outlineLevel="0" collapsed="false">
      <c r="A6" s="3" t="s">
        <v>16</v>
      </c>
      <c r="B6" s="3" t="s">
        <v>17</v>
      </c>
      <c r="C6" s="3" t="n">
        <v>70</v>
      </c>
      <c r="D6" s="3" t="n">
        <v>100</v>
      </c>
      <c r="E6" s="3" t="n">
        <v>88</v>
      </c>
      <c r="F6" s="4" t="n">
        <f aca="false">IF(D6=C6,1,(E6-C6)/(D6-C6))</f>
        <v>0.6</v>
      </c>
      <c r="G6" s="3" t="str">
        <f aca="false">IF(F6&gt;=1,"On Target",IF(F6&gt;=0.6,"On Track","At Risk"))</f>
        <v>On Track</v>
      </c>
      <c r="H6" s="3" t="s">
        <v>12</v>
      </c>
      <c r="I6" s="3" t="s">
        <v>13</v>
      </c>
    </row>
    <row r="7" customFormat="false" ht="23.85" hidden="false" customHeight="false" outlineLevel="0" collapsed="false">
      <c r="A7" s="5" t="s">
        <v>18</v>
      </c>
      <c r="B7" s="5" t="s">
        <v>19</v>
      </c>
      <c r="C7" s="5" t="n">
        <v>0.8</v>
      </c>
      <c r="D7" s="5" t="n">
        <v>1.8</v>
      </c>
      <c r="E7" s="5" t="n">
        <v>1.2</v>
      </c>
      <c r="F7" s="6" t="n">
        <f aca="false">IF(D7=C7,1,(E7-C7)/(D7-C7))</f>
        <v>0.4</v>
      </c>
      <c r="G7" s="5" t="str">
        <f aca="false">IF(F7&gt;=1,"On Target",IF(F7&gt;=0.6,"On Track","At Risk"))</f>
        <v>At Risk</v>
      </c>
      <c r="H7" s="5" t="s">
        <v>20</v>
      </c>
      <c r="I7" s="5" t="s">
        <v>21</v>
      </c>
    </row>
    <row r="8" customFormat="false" ht="35.05" hidden="false" customHeight="false" outlineLevel="0" collapsed="false">
      <c r="A8" s="3" t="s">
        <v>22</v>
      </c>
      <c r="B8" s="3" t="s">
        <v>23</v>
      </c>
      <c r="C8" s="3" t="n">
        <v>75</v>
      </c>
      <c r="D8" s="3" t="n">
        <v>100</v>
      </c>
      <c r="E8" s="3" t="n">
        <v>90</v>
      </c>
      <c r="F8" s="4" t="n">
        <f aca="false">IF(D8=C8,1,(E8-C8)/(D8-C8))</f>
        <v>0.6</v>
      </c>
      <c r="G8" s="3" t="str">
        <f aca="false">IF(F8&gt;=1,"On Target",IF(F8&gt;=0.6,"On Track","At Risk"))</f>
        <v>On Track</v>
      </c>
      <c r="H8" s="3" t="s">
        <v>12</v>
      </c>
      <c r="I8" s="3" t="s">
        <v>13</v>
      </c>
    </row>
  </sheetData>
  <conditionalFormatting sqref="G4:G8">
    <cfRule type="cellIs" priority="2" operator="equal" aboveAverage="0" equalAverage="0" bottom="0" percent="0" rank="0" text="" dxfId="0">
      <formula>"At Risk"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"On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2026-07-03T19:51:09Z</dcterms:created>
  <dc:creator>openpyxl</dc:creator>
  <dc:description/>
  <dc:language>en-US</dc:language>
  <cp:lastModifiedBy/>
  <dcterms:modified xsi:type="dcterms:W3CDTF">2026-07-03T19:51:09Z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