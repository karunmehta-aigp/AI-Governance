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Monitoring Dashboard" sheetId="1" state="visible" r:id="rId3"/>
    <sheet name="Risk 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<sst xmlns="http://schemas.openxmlformats.org/spreadsheetml/2006/main" count="53" uniqueCount="44">
  <si>
    <t xml:space="preserve">AI Risk Monitoring Dashboard</t>
  </si>
  <si>
    <t xml:space="preserve">Live view — all figures calculate from the Risk Data sheet.</t>
  </si>
  <si>
    <t xml:space="preserve">Metric</t>
  </si>
  <si>
    <t xml:space="preserve">Value</t>
  </si>
  <si>
    <t xml:space="preserve">Rating</t>
  </si>
  <si>
    <t xml:space="preserve">Count</t>
  </si>
  <si>
    <t xml:space="preserve">Category</t>
  </si>
  <si>
    <t xml:space="preserve">Avg Score</t>
  </si>
  <si>
    <t xml:space="preserve">Total Open Risks</t>
  </si>
  <si>
    <t xml:space="preserve">Critical</t>
  </si>
  <si>
    <t xml:space="preserve">Fairness/Bias</t>
  </si>
  <si>
    <t xml:space="preserve">Critical Risks</t>
  </si>
  <si>
    <t xml:space="preserve">High</t>
  </si>
  <si>
    <t xml:space="preserve">Performance</t>
  </si>
  <si>
    <t xml:space="preserve">High Risks</t>
  </si>
  <si>
    <t xml:space="preserve">Medium</t>
  </si>
  <si>
    <t xml:space="preserve">Security</t>
  </si>
  <si>
    <t xml:space="preserve">Medium Risks</t>
  </si>
  <si>
    <t xml:space="preserve">Low</t>
  </si>
  <si>
    <t xml:space="preserve">Third-Party/Vendor</t>
  </si>
  <si>
    <t xml:space="preserve">Low Risks</t>
  </si>
  <si>
    <t xml:space="preserve">Privacy</t>
  </si>
  <si>
    <t xml:space="preserve">Average Risk Score</t>
  </si>
  <si>
    <t xml:space="preserve">Legal/Regulatory</t>
  </si>
  <si>
    <t xml:space="preserve">Highest Single Risk Score</t>
  </si>
  <si>
    <t xml:space="preserve">Risk ID</t>
  </si>
  <si>
    <t xml:space="preserve">System ID</t>
  </si>
  <si>
    <t xml:space="preserve">Risk Category</t>
  </si>
  <si>
    <t xml:space="preserve">Likelihood</t>
  </si>
  <si>
    <t xml:space="preserve">Impact</t>
  </si>
  <si>
    <t xml:space="preserve">Score</t>
  </si>
  <si>
    <t xml:space="preserve">Status</t>
  </si>
  <si>
    <t xml:space="preserve">RISK-001</t>
  </si>
  <si>
    <t xml:space="preserve">ORG-AI-001</t>
  </si>
  <si>
    <t xml:space="preserve">Open</t>
  </si>
  <si>
    <t xml:space="preserve">RISK-002</t>
  </si>
  <si>
    <t xml:space="preserve">ORG-AI-003</t>
  </si>
  <si>
    <t xml:space="preserve">RISK-003</t>
  </si>
  <si>
    <t xml:space="preserve">ORG-AI-005</t>
  </si>
  <si>
    <t xml:space="preserve">In Progress</t>
  </si>
  <si>
    <t xml:space="preserve">RISK-004</t>
  </si>
  <si>
    <t xml:space="preserve">ORG-AI-006</t>
  </si>
  <si>
    <t xml:space="preserve">RISK-005</t>
  </si>
  <si>
    <t xml:space="preserve">ORG-AI-002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</si>
</sst>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libri"/>
      <family val="0"/>
      <charset val="1"/>
    </font>
    <font>
      <i val="true"/>
      <sz val="10"/>
      <name val="Calibri"/>
      <family val="0"/>
      <charset val="1"/>
    </font>
    <font>
      <b val="true"/>
      <sz val="11"/>
      <color rgb="FFFFFFFF"/>
      <name val="Cambria"/>
      <family val="0"/>
      <charset val="1"/>
    </font>
    <font>
      <sz val="10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Risks by Rating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'Risk Monitoring Dashboard'!E4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'Risk Monitoring Dashboard'!$D$5:$D$8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'Risk Monitoring Dashboard'!$E$5:$E$8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Risk Score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'Risk Monitoring Dashboard'!H4</c:f>
              <c:strCache>
                <c:ptCount val="1"/>
                <c:pt idx="0">
                  <c:v>Avg Score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'Risk Monitoring Dashboard'!$G$5:$G$10</c:f>
              <c:strCache>
                <c:ptCount val="6"/>
                <c:pt idx="0">
                  <c:v>Fairness/Bias</c:v>
                </c:pt>
                <c:pt idx="1">
                  <c:v>Performance</c:v>
                </c:pt>
                <c:pt idx="2">
                  <c:v>Security</c:v>
                </c:pt>
                <c:pt idx="3">
                  <c:v>Third-Party/Vendor</c:v>
                </c:pt>
                <c:pt idx="4">
                  <c:v>Privacy</c:v>
                </c:pt>
                <c:pt idx="5">
                  <c:v>Legal/Regulatory</c:v>
                </c:pt>
              </c:strCache>
            </c:strRef>
          </c:cat>
          <c:val>
            <c:numRef>
              <c:f>'Risk Monitoring Dashboard'!$H$5:$H$10</c:f>
              <c:numCache>
                <c:formatCode>General</c:formatCode>
                <c:ptCount val="6"/>
                <c:pt idx="0">
                  <c:v>12</c:v>
                </c:pt>
                <c:pt idx="1">
                  <c:v>15</c:v>
                </c:pt>
                <c:pt idx="2">
                  <c:v>10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16320390"/>
        <c:axId val="7642239"/>
      </c:barChart>
      <c:catAx>
        <c:axId val="163203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42239"/>
        <c:crosses val="autoZero"/>
        <c:auto val="1"/>
        <c:lblAlgn val="ctr"/>
        <c:lblOffset val="100"/>
        <c:noMultiLvlLbl val="0"/>
      </c:catAx>
      <c:valAx>
        <c:axId val="76422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3203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9</xdr:row>
      <xdr:rowOff>131040</xdr:rowOff>
    </xdr:from>
    <xdr:to>
      <xdr:col>7</xdr:col>
      <xdr:colOff>747720</xdr:colOff>
      <xdr:row>24</xdr:row>
      <xdr:rowOff>153000</xdr:rowOff>
    </xdr:to>
    <xdr:graphicFrame>
      <xdr:nvGraphicFramePr>
        <xdr:cNvPr id="0" name="Chart 1"/>
        <xdr:cNvGraphicFramePr/>
      </xdr:nvGraphicFramePr>
      <xdr:xfrm>
        <a:off x="3290040" y="190512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26</xdr:row>
      <xdr:rowOff>131040</xdr:rowOff>
    </xdr:from>
    <xdr:to>
      <xdr:col>10</xdr:col>
      <xdr:colOff>119160</xdr:colOff>
      <xdr:row>41</xdr:row>
      <xdr:rowOff>153000</xdr:rowOff>
    </xdr:to>
    <xdr:graphicFrame>
      <xdr:nvGraphicFramePr>
        <xdr:cNvPr id="1" name="Chart 2"/>
        <xdr:cNvGraphicFramePr/>
      </xdr:nvGraphicFramePr>
      <xdr:xfrm>
        <a:off x="3290040" y="5143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7" min="7" style="0" width="20"/>
    <col collapsed="false" customWidth="true" hidden="false" outlineLevel="0" max="8" min="8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D4" s="3" t="s">
        <v>4</v>
      </c>
      <c r="E4" s="3" t="s">
        <v>5</v>
      </c>
      <c r="G4" s="3" t="s">
        <v>6</v>
      </c>
      <c r="H4" s="3" t="s">
        <v>7</v>
      </c>
    </row>
    <row r="5" customFormat="false" ht="15" hidden="false" customHeight="false" outlineLevel="0" collapsed="false">
      <c r="A5" s="4" t="s">
        <v>8</v>
      </c>
      <c r="B5" s="5" t="n">
        <f aca="false">COUNTIF('Risk Data'!H2:H6,"Open")+COUNTIF('Risk Data'!H2:H6,"In Progress")</f>
        <v>5</v>
      </c>
      <c r="D5" s="6" t="s">
        <v>9</v>
      </c>
      <c r="E5" s="6" t="n">
        <f aca="false">COUNTIF('Risk Data'!G2:G6,"Critical")</f>
        <v>0</v>
      </c>
      <c r="G5" s="6" t="s">
        <v>10</v>
      </c>
      <c r="H5" s="6" t="n">
        <f aca="false">IFERROR(AVERAGEIF('Risk Data'!C2:C6,G5,'Risk Data'!F2:F6),0)</f>
        <v>12</v>
      </c>
    </row>
    <row r="6" customFormat="false" ht="15" hidden="false" customHeight="false" outlineLevel="0" collapsed="false">
      <c r="A6" s="4" t="s">
        <v>11</v>
      </c>
      <c r="B6" s="5" t="n">
        <f aca="false">COUNTIF('Risk Data'!G2:G6,"Critical")</f>
        <v>0</v>
      </c>
      <c r="D6" s="6" t="s">
        <v>12</v>
      </c>
      <c r="E6" s="6" t="n">
        <f aca="false">COUNTIF('Risk Data'!G2:G6,"High")</f>
        <v>4</v>
      </c>
      <c r="G6" s="6" t="s">
        <v>13</v>
      </c>
      <c r="H6" s="6" t="n">
        <f aca="false">IFERROR(AVERAGEIF('Risk Data'!C2:C6,G6,'Risk Data'!F2:F6),0)</f>
        <v>15</v>
      </c>
    </row>
    <row r="7" customFormat="false" ht="15" hidden="false" customHeight="false" outlineLevel="0" collapsed="false">
      <c r="A7" s="4" t="s">
        <v>14</v>
      </c>
      <c r="B7" s="5" t="n">
        <f aca="false">COUNTIF('Risk Data'!G2:G6,"High")</f>
        <v>4</v>
      </c>
      <c r="D7" s="6" t="s">
        <v>15</v>
      </c>
      <c r="E7" s="6" t="n">
        <f aca="false">COUNTIF('Risk Data'!G2:G6,"Medium")</f>
        <v>1</v>
      </c>
      <c r="G7" s="6" t="s">
        <v>16</v>
      </c>
      <c r="H7" s="6" t="n">
        <f aca="false">IFERROR(AVERAGEIF('Risk Data'!C2:C6,G7,'Risk Data'!F2:F6),0)</f>
        <v>10</v>
      </c>
    </row>
    <row r="8" customFormat="false" ht="15" hidden="false" customHeight="false" outlineLevel="0" collapsed="false">
      <c r="A8" s="4" t="s">
        <v>17</v>
      </c>
      <c r="B8" s="5" t="n">
        <f aca="false">COUNTIF('Risk Data'!G2:G6,"Medium")</f>
        <v>1</v>
      </c>
      <c r="D8" s="6" t="s">
        <v>18</v>
      </c>
      <c r="E8" s="6" t="n">
        <f aca="false">COUNTIF('Risk Data'!G2:G6,"Low")</f>
        <v>0</v>
      </c>
      <c r="G8" s="6" t="s">
        <v>19</v>
      </c>
      <c r="H8" s="6" t="n">
        <f aca="false">IFERROR(AVERAGEIF('Risk Data'!C2:C6,G8,'Risk Data'!F2:F6),0)</f>
        <v>9</v>
      </c>
    </row>
    <row r="9" customFormat="false" ht="15" hidden="false" customHeight="false" outlineLevel="0" collapsed="false">
      <c r="A9" s="4" t="s">
        <v>20</v>
      </c>
      <c r="B9" s="5" t="n">
        <f aca="false">COUNTIF('Risk Data'!G2:G6,"Low")</f>
        <v>0</v>
      </c>
      <c r="G9" s="6" t="s">
        <v>21</v>
      </c>
      <c r="H9" s="6" t="n">
        <f aca="false">IFERROR(AVERAGEIF('Risk Data'!C2:C6,G9,'Risk Data'!F2:F6),0)</f>
        <v>0</v>
      </c>
    </row>
    <row r="10" customFormat="false" ht="15" hidden="false" customHeight="false" outlineLevel="0" collapsed="false">
      <c r="A10" s="4" t="s">
        <v>22</v>
      </c>
      <c r="B10" s="5" t="n">
        <f aca="false">AVERAGE('Risk Data'!F2:F6)</f>
        <v>11.6</v>
      </c>
      <c r="G10" s="6" t="s">
        <v>23</v>
      </c>
      <c r="H10" s="6" t="n">
        <f aca="false">IFERROR(AVERAGEIF('Risk Data'!C2:C6,G10,'Risk Data'!F2:F6),0)</f>
        <v>0</v>
      </c>
    </row>
    <row r="11" customFormat="false" ht="15" hidden="false" customHeight="false" outlineLevel="0" collapsed="false">
      <c r="A11" s="4" t="s">
        <v>24</v>
      </c>
      <c r="B11" s="5" t="n">
        <f aca="false">MAX('Risk Data'!F2:F6)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7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4</v>
      </c>
      <c r="H1" s="7" t="s">
        <v>31</v>
      </c>
    </row>
    <row r="2" customFormat="false" ht="15" hidden="false" customHeight="false" outlineLevel="0" collapsed="false">
      <c r="A2" s="8" t="s">
        <v>32</v>
      </c>
      <c r="B2" s="8" t="s">
        <v>33</v>
      </c>
      <c r="C2" s="8" t="s">
        <v>10</v>
      </c>
      <c r="D2" s="8" t="n">
        <v>3</v>
      </c>
      <c r="E2" s="8" t="n">
        <v>4</v>
      </c>
      <c r="F2" s="8" t="n">
        <f aca="false">D2*E2</f>
        <v>12</v>
      </c>
      <c r="G2" s="8" t="str">
        <f aca="false">IF(F2&gt;=16,"Critical",IF(F2&gt;=10,"High",IF(F2&gt;=5,"Medium","Low")))</f>
        <v>High</v>
      </c>
      <c r="H2" s="8" t="s">
        <v>34</v>
      </c>
    </row>
    <row r="3" customFormat="false" ht="15" hidden="false" customHeight="false" outlineLevel="0" collapsed="false">
      <c r="A3" s="8" t="s">
        <v>35</v>
      </c>
      <c r="B3" s="8" t="s">
        <v>36</v>
      </c>
      <c r="C3" s="8" t="s">
        <v>13</v>
      </c>
      <c r="D3" s="8" t="n">
        <v>3</v>
      </c>
      <c r="E3" s="8" t="n">
        <v>5</v>
      </c>
      <c r="F3" s="8" t="n">
        <f aca="false">D3*E3</f>
        <v>15</v>
      </c>
      <c r="G3" s="8" t="str">
        <f aca="false">IF(F3&gt;=16,"Critical",IF(F3&gt;=10,"High",IF(F3&gt;=5,"Medium","Low")))</f>
        <v>High</v>
      </c>
      <c r="H3" s="8" t="s">
        <v>34</v>
      </c>
    </row>
    <row r="4" customFormat="false" ht="15" hidden="false" customHeight="false" outlineLevel="0" collapsed="false">
      <c r="A4" s="8" t="s">
        <v>37</v>
      </c>
      <c r="B4" s="8" t="s">
        <v>38</v>
      </c>
      <c r="C4" s="8" t="s">
        <v>10</v>
      </c>
      <c r="D4" s="8" t="n">
        <v>3</v>
      </c>
      <c r="E4" s="8" t="n">
        <v>4</v>
      </c>
      <c r="F4" s="8" t="n">
        <f aca="false">D4*E4</f>
        <v>12</v>
      </c>
      <c r="G4" s="8" t="str">
        <f aca="false">IF(F4&gt;=16,"Critical",IF(F4&gt;=10,"High",IF(F4&gt;=5,"Medium","Low")))</f>
        <v>High</v>
      </c>
      <c r="H4" s="8" t="s">
        <v>39</v>
      </c>
    </row>
    <row r="5" customFormat="false" ht="15" hidden="false" customHeight="false" outlineLevel="0" collapsed="false">
      <c r="A5" s="8" t="s">
        <v>40</v>
      </c>
      <c r="B5" s="8" t="s">
        <v>41</v>
      </c>
      <c r="C5" s="8" t="s">
        <v>16</v>
      </c>
      <c r="D5" s="8" t="n">
        <v>2</v>
      </c>
      <c r="E5" s="8" t="n">
        <v>5</v>
      </c>
      <c r="F5" s="8" t="n">
        <f aca="false">D5*E5</f>
        <v>10</v>
      </c>
      <c r="G5" s="8" t="str">
        <f aca="false">IF(F5&gt;=16,"Critical",IF(F5&gt;=10,"High",IF(F5&gt;=5,"Medium","Low")))</f>
        <v>High</v>
      </c>
      <c r="H5" s="8" t="s">
        <v>34</v>
      </c>
    </row>
    <row r="6" customFormat="false" ht="15" hidden="false" customHeight="false" outlineLevel="0" collapsed="false">
      <c r="A6" s="8" t="s">
        <v>42</v>
      </c>
      <c r="B6" s="8" t="s">
        <v>43</v>
      </c>
      <c r="C6" s="8" t="s">
        <v>19</v>
      </c>
      <c r="D6" s="8" t="n">
        <v>3</v>
      </c>
      <c r="E6" s="8" t="n">
        <v>3</v>
      </c>
      <c r="F6" s="8" t="n">
        <f aca="false">D6*E6</f>
        <v>9</v>
      </c>
      <c r="G6" s="8" t="str">
        <f aca="false">IF(F6&gt;=16,"Critical",IF(F6&gt;=10,"High",IF(F6&gt;=5,"Medium","Low")))</f>
        <v>Medium</v>
      </c>
      <c r="H6" s="8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2026-07-03T19:56:17Z</dcterms:created>
  <dc:creator>openpyxl</dc:creator>
  <dc:description/>
  <dc:language>en-US</dc:language>
  <cp:lastModifiedBy/>
  <dcterms:modified xsi:type="dcterms:W3CDTF">2026-07-03T19:56:19Z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